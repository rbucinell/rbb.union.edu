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drawings/drawing2.xml" ContentType="application/vnd.openxmlformats-officedocument.drawing+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activeX/activeX69.xml" ContentType="application/vnd.ms-office.activeX+xml"/>
  <Override PartName="/xl/activeX/activeX70.xml" ContentType="application/vnd.ms-office.activeX+xml"/>
  <Override PartName="/xl/activeX/activeX71.xml" ContentType="application/vnd.ms-office.activeX+xml"/>
  <Override PartName="/xl/activeX/activeX72.xml" ContentType="application/vnd.ms-office.activeX+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activeX/activeX77.xml" ContentType="application/vnd.ms-office.activeX+xml"/>
  <Override PartName="/xl/activeX/activeX78.xml" ContentType="application/vnd.ms-office.activeX+xml"/>
  <Override PartName="/xl/activeX/activeX79.xml" ContentType="application/vnd.ms-office.activeX+xml"/>
  <Override PartName="/xl/activeX/activeX80.xml" ContentType="application/vnd.ms-office.activeX+xml"/>
  <Override PartName="/xl/activeX/activeX81.xml" ContentType="application/vnd.ms-office.activeX+xml"/>
  <Override PartName="/xl/activeX/activeX82.xml" ContentType="application/vnd.ms-office.activeX+xml"/>
  <Override PartName="/xl/activeX/activeX83.xml" ContentType="application/vnd.ms-office.activeX+xml"/>
  <Override PartName="/xl/activeX/activeX84.xml" ContentType="application/vnd.ms-office.activeX+xml"/>
  <Override PartName="/xl/activeX/activeX85.xml" ContentType="application/vnd.ms-office.activeX+xml"/>
  <Override PartName="/xl/activeX/activeX86.xml" ContentType="application/vnd.ms-office.activeX+xml"/>
  <Override PartName="/xl/activeX/activeX87.xml" ContentType="application/vnd.ms-office.activeX+xml"/>
  <Override PartName="/xl/activeX/activeX88.xml" ContentType="application/vnd.ms-office.activeX+xml"/>
  <Override PartName="/xl/activeX/activeX89.xml" ContentType="application/vnd.ms-office.activeX+xml"/>
  <Override PartName="/xl/activeX/activeX90.xml" ContentType="application/vnd.ms-office.activeX+xml"/>
  <Override PartName="/xl/activeX/activeX91.xml" ContentType="application/vnd.ms-office.activeX+xml"/>
  <Override PartName="/xl/activeX/activeX92.xml" ContentType="application/vnd.ms-office.activeX+xml"/>
  <Override PartName="/xl/activeX/activeX93.xml" ContentType="application/vnd.ms-office.activeX+xml"/>
  <Override PartName="/xl/activeX/activeX94.xml" ContentType="application/vnd.ms-office.activeX+xml"/>
  <Override PartName="/xl/activeX/activeX95.xml" ContentType="application/vnd.ms-office.activeX+xml"/>
  <Override PartName="/xl/activeX/activeX96.xml" ContentType="application/vnd.ms-office.activeX+xml"/>
  <Override PartName="/xl/activeX/activeX97.xml" ContentType="application/vnd.ms-office.activeX+xml"/>
  <Override PartName="/xl/activeX/activeX98.xml" ContentType="application/vnd.ms-office.activeX+xml"/>
  <Override PartName="/xl/activeX/activeX99.xml" ContentType="application/vnd.ms-office.activeX+xml"/>
  <Override PartName="/xl/activeX/activeX100.xml" ContentType="application/vnd.ms-office.activeX+xml"/>
  <Override PartName="/xl/activeX/activeX101.xml" ContentType="application/vnd.ms-office.activeX+xml"/>
  <Override PartName="/xl/activeX/activeX102.xml" ContentType="application/vnd.ms-office.activeX+xml"/>
  <Override PartName="/xl/activeX/activeX103.xml" ContentType="application/vnd.ms-office.activeX+xml"/>
  <Override PartName="/xl/activeX/activeX104.xml" ContentType="application/vnd.ms-office.activeX+xml"/>
  <Override PartName="/xl/activeX/activeX105.xml" ContentType="application/vnd.ms-office.activeX+xml"/>
  <Override PartName="/xl/activeX/activeX106.xml" ContentType="application/vnd.ms-office.activeX+xml"/>
  <Override PartName="/xl/activeX/activeX107.xml" ContentType="application/vnd.ms-office.activeX+xml"/>
  <Override PartName="/xl/activeX/activeX108.xml" ContentType="application/vnd.ms-office.activeX+xml"/>
  <Override PartName="/xl/activeX/activeX109.xml" ContentType="application/vnd.ms-office.activeX+xml"/>
  <Override PartName="/xl/activeX/activeX110.xml" ContentType="application/vnd.ms-office.activeX+xml"/>
  <Override PartName="/xl/activeX/activeX111.xml" ContentType="application/vnd.ms-office.activeX+xml"/>
  <Override PartName="/xl/activeX/activeX112.xml" ContentType="application/vnd.ms-office.activeX+xml"/>
  <Override PartName="/xl/activeX/activeX113.xml" ContentType="application/vnd.ms-office.activeX+xml"/>
  <Override PartName="/xl/activeX/activeX114.xml" ContentType="application/vnd.ms-office.activeX+xml"/>
  <Override PartName="/xl/activeX/activeX115.xml" ContentType="application/vnd.ms-office.activeX+xml"/>
  <Override PartName="/xl/activeX/activeX116.xml" ContentType="application/vnd.ms-office.activeX+xml"/>
  <Override PartName="/xl/activeX/activeX117.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0" windowWidth="27795" windowHeight="15135"/>
  </bookViews>
  <sheets>
    <sheet name="Team-PLAYER" sheetId="2" r:id="rId1"/>
    <sheet name="Team-DEVELOPMENT" sheetId="1" r:id="rId2"/>
    <sheet name="TP-Data" sheetId="3" r:id="rId3"/>
    <sheet name="Figures" sheetId="4" r:id="rId4"/>
  </sheets>
  <calcPr calcId="145621"/>
</workbook>
</file>

<file path=xl/calcChain.xml><?xml version="1.0" encoding="utf-8"?>
<calcChain xmlns="http://schemas.openxmlformats.org/spreadsheetml/2006/main">
  <c r="C32" i="1" l="1"/>
  <c r="C30" i="1"/>
  <c r="C28" i="1"/>
  <c r="C26" i="1"/>
  <c r="C24" i="1"/>
  <c r="C22" i="1"/>
  <c r="C20" i="1"/>
  <c r="C18" i="1"/>
  <c r="C16" i="1"/>
  <c r="C14" i="1"/>
  <c r="C12" i="1"/>
  <c r="C10" i="1"/>
  <c r="C8" i="1" l="1"/>
  <c r="L9" i="1" l="1"/>
  <c r="L29" i="1"/>
  <c r="L21" i="1"/>
  <c r="L13" i="1"/>
  <c r="L27" i="1"/>
  <c r="L19" i="1"/>
  <c r="L11" i="1"/>
  <c r="L25" i="1"/>
  <c r="L17" i="1"/>
  <c r="L31" i="1"/>
  <c r="L23" i="1"/>
  <c r="L15" i="1"/>
  <c r="A116" i="2" l="1"/>
  <c r="A115" i="2"/>
  <c r="A114" i="2"/>
  <c r="A113" i="2"/>
  <c r="A110" i="2"/>
  <c r="A109" i="2"/>
  <c r="A108" i="2"/>
  <c r="A107" i="2"/>
  <c r="A104" i="2"/>
  <c r="A103" i="2"/>
  <c r="A102" i="2"/>
  <c r="A101" i="2"/>
  <c r="A98" i="2"/>
  <c r="A97" i="2"/>
  <c r="A96" i="2"/>
  <c r="A95" i="2"/>
  <c r="A92" i="2"/>
  <c r="A91" i="2"/>
  <c r="A90" i="2"/>
  <c r="A89" i="2"/>
  <c r="A86" i="2"/>
  <c r="A85" i="2"/>
  <c r="A84" i="2"/>
  <c r="A83" i="2"/>
  <c r="A80" i="2"/>
  <c r="A79" i="2"/>
  <c r="A78" i="2"/>
  <c r="A77" i="2"/>
  <c r="A74" i="2"/>
  <c r="A73" i="2"/>
  <c r="A72" i="2"/>
  <c r="A71" i="2"/>
  <c r="A68" i="2"/>
  <c r="A67" i="2"/>
  <c r="A66" i="2"/>
  <c r="A65" i="2"/>
  <c r="A62" i="2"/>
  <c r="A61" i="2"/>
  <c r="A60" i="2"/>
  <c r="A59" i="2"/>
  <c r="A56" i="2"/>
  <c r="A55" i="2"/>
  <c r="A54" i="2"/>
  <c r="A53" i="2"/>
  <c r="A50" i="2"/>
  <c r="A49" i="2"/>
  <c r="A48" i="2"/>
  <c r="A47" i="2"/>
  <c r="A44" i="2"/>
  <c r="A43" i="2"/>
  <c r="A42" i="2"/>
  <c r="A41" i="2"/>
  <c r="A38" i="2"/>
  <c r="A37" i="2"/>
  <c r="A36" i="2"/>
  <c r="A35" i="2"/>
  <c r="A32" i="2"/>
  <c r="A31" i="2"/>
  <c r="A30" i="2"/>
  <c r="A29" i="2"/>
  <c r="A26" i="2"/>
  <c r="A25" i="2"/>
  <c r="A24" i="2"/>
  <c r="A23" i="2"/>
  <c r="A17" i="2"/>
  <c r="A20" i="2"/>
  <c r="A19" i="2"/>
  <c r="A18" i="2"/>
  <c r="A14" i="2"/>
  <c r="A13" i="2"/>
  <c r="A12" i="2"/>
  <c r="A11" i="2"/>
  <c r="A22" i="2" l="1"/>
  <c r="A28" i="2"/>
  <c r="A34" i="2"/>
  <c r="A40" i="2"/>
  <c r="A46" i="2"/>
  <c r="A52" i="2"/>
  <c r="A58" i="2"/>
  <c r="A64" i="2"/>
  <c r="A70" i="2"/>
  <c r="A76" i="2"/>
  <c r="A82" i="2"/>
  <c r="A100" i="2"/>
  <c r="A106" i="2"/>
  <c r="A112" i="2"/>
  <c r="A94" i="2"/>
  <c r="A16" i="2"/>
  <c r="A10" i="2"/>
  <c r="A88" i="2"/>
  <c r="A2" i="2" l="1"/>
  <c r="H2" i="2" s="1"/>
  <c r="G2" i="2" l="1"/>
  <c r="F2" i="2"/>
  <c r="E2" i="2"/>
  <c r="I2" i="2" l="1"/>
</calcChain>
</file>

<file path=xl/sharedStrings.xml><?xml version="1.0" encoding="utf-8"?>
<sst xmlns="http://schemas.openxmlformats.org/spreadsheetml/2006/main" count="565" uniqueCount="368">
  <si>
    <t>During team meetings, I usually</t>
  </si>
  <si>
    <t>1.</t>
  </si>
  <si>
    <t>2.</t>
  </si>
  <si>
    <t>3.</t>
  </si>
  <si>
    <t>4.</t>
  </si>
  <si>
    <t>5.</t>
  </si>
  <si>
    <t>6.</t>
  </si>
  <si>
    <t>7.</t>
  </si>
  <si>
    <t>8.</t>
  </si>
  <si>
    <t>9.</t>
  </si>
  <si>
    <t>10.</t>
  </si>
  <si>
    <t>11.</t>
  </si>
  <si>
    <t>12.</t>
  </si>
  <si>
    <t>13.</t>
  </si>
  <si>
    <t>14.</t>
  </si>
  <si>
    <t>15.</t>
  </si>
  <si>
    <t>16.</t>
  </si>
  <si>
    <t>17.</t>
  </si>
  <si>
    <t>18.</t>
  </si>
  <si>
    <t>a. provide the team with technical data or information.</t>
  </si>
  <si>
    <t>b. keep the team focused on our mission or goals.</t>
  </si>
  <si>
    <t>In relating to the team leader, I</t>
  </si>
  <si>
    <t>a. suggest that our work be goal directed.</t>
  </si>
  <si>
    <t>d. offer advice based on my area of expertise.</t>
  </si>
  <si>
    <t>Under stress, I sometimes</t>
  </si>
  <si>
    <t>a. overuse humor and other tension-reducing devices.</t>
  </si>
  <si>
    <t>b. am too direct in communication with other team members.</t>
  </si>
  <si>
    <t>c. lose patience with the need to get everyone involved in discussions.</t>
  </si>
  <si>
    <t>d. complain to outsiders about problems facing the team.</t>
  </si>
  <si>
    <t>When conflicts arise on the team, I usually</t>
  </si>
  <si>
    <t>a. press for an honest discussion of the differences.</t>
  </si>
  <si>
    <t>d. try to break the tension with a supportive or humorous remark.</t>
  </si>
  <si>
    <t>Other team members usually see me as</t>
  </si>
  <si>
    <t>a. factual.</t>
  </si>
  <si>
    <t>b. flexible.</t>
  </si>
  <si>
    <t>c. encouraging.</t>
  </si>
  <si>
    <t>d. candid.</t>
  </si>
  <si>
    <t>At times, I am</t>
  </si>
  <si>
    <t>a. too results oriented.</t>
  </si>
  <si>
    <t>b. too laid-back.</t>
  </si>
  <si>
    <t>c. self-righteous.</t>
  </si>
  <si>
    <t>d. shortsighted.</t>
  </si>
  <si>
    <t>When things go wrong on the team, I usually</t>
  </si>
  <si>
    <t>a. push for increased emphasis on listening, feedback, and participation.</t>
  </si>
  <si>
    <t>b. press for candid discussion of our problems.</t>
  </si>
  <si>
    <t>c. work hard to provide more and better information.</t>
  </si>
  <si>
    <t>d. suggest that we revisit our basic mission.</t>
  </si>
  <si>
    <t>A risky team contribution for me is to</t>
  </si>
  <si>
    <t>a. question some aspect of the team's work.</t>
  </si>
  <si>
    <t>b. push the team to set higher performance standards.</t>
  </si>
  <si>
    <t>c. work outside my defined role or job area.</t>
  </si>
  <si>
    <t>d. provide other team members with feedback on their behavior as team members.</t>
  </si>
  <si>
    <t>Sometimes other team members see me as</t>
  </si>
  <si>
    <t>b. unwilling to reassess the team's mission or goals.</t>
  </si>
  <si>
    <t>c. not serious about getting the real job done.</t>
  </si>
  <si>
    <t>d. a nitpicker.</t>
  </si>
  <si>
    <t>I believe team problem solving requires</t>
  </si>
  <si>
    <t>a. cooperation by all team members.</t>
  </si>
  <si>
    <t>b. high-level listening skills.</t>
  </si>
  <si>
    <t>c. a willingness to ask tough questions.</t>
  </si>
  <si>
    <t>d. good solid data.</t>
  </si>
  <si>
    <t>When a new team is forming, I usually</t>
  </si>
  <si>
    <t>a. try to meet and get to now other team members.</t>
  </si>
  <si>
    <t>b. ask pointed questions about our goals and methods.</t>
  </si>
  <si>
    <t>c. want to know what is expected of me.</t>
  </si>
  <si>
    <t>d. seek clarity about our basic mission.</t>
  </si>
  <si>
    <t>At times, I make other people feel</t>
  </si>
  <si>
    <t>b. guilty because they don't live up to my standards.</t>
  </si>
  <si>
    <t>c. small-minded because they don't think long-range.</t>
  </si>
  <si>
    <t>d. heartless because they don't care about how people relate to each other.</t>
  </si>
  <si>
    <t xml:space="preserve">I believe the role of the team leader is to </t>
  </si>
  <si>
    <t>b. help the team establish long-range goals and short-term objectives.</t>
  </si>
  <si>
    <t>c. create a participatory decision-making climate</t>
  </si>
  <si>
    <t>d. bring out diverse ideas and challenge assumptions.</t>
  </si>
  <si>
    <t>I believe team decisions should be based on</t>
  </si>
  <si>
    <t>a. the team's mission and goals.</t>
  </si>
  <si>
    <t>b. a consensus of team members.</t>
  </si>
  <si>
    <t>c. an open and candid assessment of the issues.</t>
  </si>
  <si>
    <t>a. see team climate as an end in itself.</t>
  </si>
  <si>
    <t>b. play devil's advocate far too long.</t>
  </si>
  <si>
    <t>c. fail to see the importance of effective team process.</t>
  </si>
  <si>
    <t>People have often described me as</t>
  </si>
  <si>
    <t>a. independent.</t>
  </si>
  <si>
    <t>b. dependable.</t>
  </si>
  <si>
    <t>c. imaginative.</t>
  </si>
  <si>
    <t>d. participative.</t>
  </si>
  <si>
    <t>Most of the time, I am</t>
  </si>
  <si>
    <t>a. responsible and hardworking.</t>
  </si>
  <si>
    <t>b. committed and flexible.</t>
  </si>
  <si>
    <t>c. enthusiastic and humorous.</t>
  </si>
  <si>
    <t>d. honest and authentic</t>
  </si>
  <si>
    <t>In relating to other team members, at times I get annoyed because they don't</t>
  </si>
  <si>
    <t>a. revisit team goals to check progress.</t>
  </si>
  <si>
    <t>c. object to team actions with which they disagree.</t>
  </si>
  <si>
    <t>d. complete their team assignments on time.</t>
  </si>
  <si>
    <t>PARKER TEAM PLAYER SURVEY</t>
  </si>
  <si>
    <t>Glenn Parker, "Team Players and Teamwork," Jossey-Bass, San Francisco, 2008</t>
  </si>
  <si>
    <t xml:space="preserve"> </t>
  </si>
  <si>
    <t>Response Check</t>
  </si>
  <si>
    <t>Response Rank</t>
  </si>
  <si>
    <t>CONTRIBUTOR</t>
  </si>
  <si>
    <t>COLLABORATOR</t>
  </si>
  <si>
    <t>COMMUNICATOR</t>
  </si>
  <si>
    <t>CHALLENGER</t>
  </si>
  <si>
    <t>Challenger</t>
  </si>
  <si>
    <t>Contributor</t>
  </si>
  <si>
    <t>Communicator</t>
  </si>
  <si>
    <t>Collaborator</t>
  </si>
  <si>
    <t>Contributors provide the team with the valuable technical expertise it needs to solve problems and meet its goals.  They provide the data, and they provide it in a manner in which it can be easily used.  And they often serve as trainers and mentors of other team members.  They help the team set high standards, define priorities, and make efficient use of team meeting time and resources.</t>
  </si>
  <si>
    <t>Behaviors</t>
  </si>
  <si>
    <t>Summary</t>
  </si>
  <si>
    <t>Dependable, Responsible, Organized, Efficient, Logical, Clear, Relevant, Pragmatic, Systematic, Proficient</t>
  </si>
  <si>
    <t>Cooperative, Flexible, Confident, Forware-Looking, Conceptual, Accommodating, Generous, Open, Visionary, Imaginative</t>
  </si>
  <si>
    <t>A process-oriented member, the Communicator is an effective listener and facilitator of participation, conflict resolution, consensus building, feedback, and the building of an informal, relaxed climate.</t>
  </si>
  <si>
    <t>Supportive, Encouraging, Relaxed, Tactful, Helpful, Friendly, Patient, Informal, Considerate, Spontaneous</t>
  </si>
  <si>
    <t>The Challenger is a team player who openly questions the goals, methods, and even the ethics of the team; who is willing to disagree with the team leader; and who encourages the team to take well-considered risks.</t>
  </si>
  <si>
    <t>Candid, Ethical, Questioning, Honest, Truthful, Outspoken, Principled, Adventurous, Aboveboard, Brave</t>
  </si>
  <si>
    <t>Effective
Adj</t>
  </si>
  <si>
    <t>Ineffective Factors</t>
  </si>
  <si>
    <t>In-
effective Adj</t>
  </si>
  <si>
    <t>Data-Bound, Shortsighted, Narrow, Perfectionist, Cautious</t>
  </si>
  <si>
    <t>Too future oriented, Not task focused, Unrealistic, Unconcerned about group process, A dreamer</t>
  </si>
  <si>
    <t>Aimless, Not sufficiently serious, Vague, Impractical, Not focused on the bottom line</t>
  </si>
  <si>
    <t>Rigid, Arrogant, Self-righteous, Aggressive, Unyielding</t>
  </si>
  <si>
    <t>SUMMARY</t>
  </si>
  <si>
    <t>ASSOCIATED BEHAVIORS</t>
  </si>
  <si>
    <t>ASSOCIATED POSITIVE ADJECTIVES</t>
  </si>
  <si>
    <r>
      <t xml:space="preserve">Factors that cause a Contributor to become ineffective include:
</t>
    </r>
    <r>
      <rPr>
        <sz val="10"/>
        <color theme="1"/>
        <rFont val="Calibri"/>
        <family val="2"/>
      </rPr>
      <t>●  Data overload (reports that e too long and too detailed
●  Pushing for unrealistic performance standards
●  Losing sight of the big picture (the goal or charter of the team)
●  A lack of patience with the need for a positive team climate
●  A failure to appreciate and use cultural differences on a global team</t>
    </r>
  </si>
  <si>
    <r>
      <t>Factors that cause a Challenger to become ineffective include:
●</t>
    </r>
    <r>
      <rPr>
        <sz val="10"/>
        <color theme="1"/>
        <rFont val="Calibri"/>
        <family val="2"/>
      </rPr>
      <t xml:space="preserve">  Not knowinwhen to back off and let the team move on
●  Pushing the team to take risks that are beyond reason
●  Becoming self-righteous, rigid, and inflexible
●  Isolating himself or herself to a point where challenging is an end in itself
●  Using so-called honesty as a cover for attacks on other team members</t>
    </r>
  </si>
  <si>
    <r>
      <t>Factors that cause a Collaborator to become ineffective include:
●</t>
    </r>
    <r>
      <rPr>
        <sz val="10"/>
        <color theme="1"/>
        <rFont val="Calibri"/>
        <family val="2"/>
      </rPr>
      <t xml:space="preserve">  Failure to revisit and take a hard look at the team mission and goals
●  Lack of attention to the immediate team tasks and performance quality
●  Failure to focus on the importance of active participation by all members of the team
●  Public complaints about team failures</t>
    </r>
  </si>
  <si>
    <r>
      <t>Factors that cause a Communicators to become ineffective include:
●</t>
    </r>
    <r>
      <rPr>
        <sz val="10"/>
        <color theme="1"/>
        <rFont val="Calibri"/>
        <family val="2"/>
      </rPr>
      <t xml:space="preserve">  Seeing team process as an end in itself ("Are we having fun yet?")
●  Failing to challenge or confront other team members
●  Not recognizing the equal importance of completing task assignments and making progress toward team goals
●  Relying too much on humor and other process techniques</t>
    </r>
  </si>
  <si>
    <r>
      <t xml:space="preserve">FACTORS THAT CAUSE STYLE TO BE </t>
    </r>
    <r>
      <rPr>
        <b/>
        <u/>
        <sz val="14"/>
        <color theme="1"/>
        <rFont val="Calibri"/>
        <family val="2"/>
        <scheme val="minor"/>
      </rPr>
      <t>INEFFECTIVE</t>
    </r>
  </si>
  <si>
    <r>
      <t xml:space="preserve">ASSOCIATED </t>
    </r>
    <r>
      <rPr>
        <b/>
        <u/>
        <sz val="14"/>
        <color theme="1"/>
        <rFont val="Calibri"/>
        <family val="2"/>
        <scheme val="minor"/>
      </rPr>
      <t>INEFFECTIVE</t>
    </r>
    <r>
      <rPr>
        <b/>
        <sz val="14"/>
        <color theme="1"/>
        <rFont val="Calibri"/>
        <family val="2"/>
        <scheme val="minor"/>
      </rPr>
      <t xml:space="preserve"> ADJECTIVES</t>
    </r>
  </si>
  <si>
    <r>
      <rPr>
        <sz val="10"/>
        <color theme="1"/>
        <rFont val="Calibri"/>
        <family val="2"/>
      </rPr>
      <t>❶</t>
    </r>
    <r>
      <rPr>
        <sz val="10"/>
        <color theme="1"/>
        <rFont val="Calibri"/>
        <family val="2"/>
        <scheme val="minor"/>
      </rPr>
      <t xml:space="preserve"> Helps the team establish long-term goals and clearify its current objective or task
</t>
    </r>
    <r>
      <rPr>
        <sz val="10"/>
        <color theme="1"/>
        <rFont val="Calibri"/>
        <family val="2"/>
      </rPr>
      <t>❷</t>
    </r>
    <r>
      <rPr>
        <sz val="10"/>
        <color theme="1"/>
        <rFont val="Calibri"/>
        <family val="2"/>
        <scheme val="minor"/>
      </rPr>
      <t xml:space="preserve"> Helps the team see how its work fits into the total organization
</t>
    </r>
    <r>
      <rPr>
        <sz val="10"/>
        <color theme="1"/>
        <rFont val="Calibri"/>
        <family val="2"/>
      </rPr>
      <t>❸</t>
    </r>
    <r>
      <rPr>
        <sz val="10"/>
        <color theme="1"/>
        <rFont val="Calibri"/>
        <family val="2"/>
        <scheme val="minor"/>
      </rPr>
      <t xml:space="preserve"> Regularly reminds the team of the need to revisit their goals and action plans
</t>
    </r>
    <r>
      <rPr>
        <sz val="10"/>
        <color theme="1"/>
        <rFont val="Calibri"/>
        <family val="2"/>
      </rPr>
      <t>❹</t>
    </r>
    <r>
      <rPr>
        <sz val="10"/>
        <color theme="1"/>
        <rFont val="Calibri"/>
        <family val="2"/>
        <scheme val="minor"/>
      </rPr>
      <t xml:space="preserve"> Encourages the team to establish plans with milestones and appropriate task assignments
</t>
    </r>
    <r>
      <rPr>
        <sz val="10"/>
        <color theme="1"/>
        <rFont val="Calibri"/>
        <family val="2"/>
      </rPr>
      <t>❺</t>
    </r>
    <r>
      <rPr>
        <sz val="10"/>
        <color theme="1"/>
        <rFont val="Calibri"/>
        <family val="2"/>
        <scheme val="minor"/>
      </rPr>
      <t xml:space="preserve"> Pitches in to help out other team members who need assistance
</t>
    </r>
    <r>
      <rPr>
        <sz val="10"/>
        <color theme="1"/>
        <rFont val="Calibri"/>
        <family val="2"/>
      </rPr>
      <t>❻</t>
    </r>
    <r>
      <rPr>
        <sz val="10"/>
        <color theme="1"/>
        <rFont val="Calibri"/>
        <family val="2"/>
        <scheme val="minor"/>
      </rPr>
      <t xml:space="preserve"> Works hard to achieve team goals and to complete the current tasks even though he or she may not agree with them
</t>
    </r>
    <r>
      <rPr>
        <sz val="10"/>
        <color theme="1"/>
        <rFont val="Calibri"/>
        <family val="2"/>
      </rPr>
      <t>❼</t>
    </r>
    <r>
      <rPr>
        <sz val="10"/>
        <color theme="1"/>
        <rFont val="Calibri"/>
        <family val="2"/>
        <scheme val="minor"/>
      </rPr>
      <t xml:space="preserve"> Does not gossip about other team members or share negative comments about team process with nonmembers
</t>
    </r>
    <r>
      <rPr>
        <sz val="10"/>
        <color theme="1"/>
        <rFont val="Calibri"/>
        <family val="2"/>
      </rPr>
      <t>❽</t>
    </r>
    <r>
      <rPr>
        <sz val="10"/>
        <color theme="1"/>
        <rFont val="Calibri"/>
        <family val="2"/>
        <scheme val="minor"/>
      </rPr>
      <t xml:space="preserve"> Is flexible and open to new ideas or data that may alter team goals
</t>
    </r>
    <r>
      <rPr>
        <sz val="10"/>
        <color theme="1"/>
        <rFont val="Calibri"/>
        <family val="2"/>
      </rPr>
      <t>❾</t>
    </r>
    <r>
      <rPr>
        <sz val="10"/>
        <color theme="1"/>
        <rFont val="Calibri"/>
        <family val="2"/>
        <scheme val="minor"/>
      </rPr>
      <t xml:space="preserve"> Often owrks outside his or her defined roal to help the team achieve its goals
</t>
    </r>
    <r>
      <rPr>
        <sz val="10"/>
        <color theme="1"/>
        <rFont val="Calibri"/>
        <family val="2"/>
      </rPr>
      <t>❿</t>
    </r>
    <r>
      <rPr>
        <sz val="10"/>
        <color theme="1"/>
        <rFont val="Calibri"/>
        <family val="2"/>
        <scheme val="minor"/>
      </rPr>
      <t xml:space="preserve"> Is willing to share the limelight with other team members</t>
    </r>
  </si>
  <si>
    <t>SELDOM</t>
  </si>
  <si>
    <t>SOMETIMES</t>
  </si>
  <si>
    <t>OFTEN</t>
  </si>
  <si>
    <t>VERY FREQUENTLY</t>
  </si>
  <si>
    <r>
      <rPr>
        <b/>
        <i/>
        <sz val="14"/>
        <color theme="1"/>
        <rFont val="Calibri"/>
        <family val="2"/>
        <scheme val="minor"/>
      </rPr>
      <t>Clear Purpose:</t>
    </r>
    <r>
      <rPr>
        <sz val="12"/>
        <color theme="1"/>
        <rFont val="Calibri"/>
        <family val="2"/>
        <scheme val="minor"/>
      </rPr>
      <t xml:space="preserve"> The vision, mission, goal, or task of the team has been defined and is accepted by everyone.  There is an action plan.</t>
    </r>
  </si>
  <si>
    <r>
      <rPr>
        <b/>
        <i/>
        <sz val="14"/>
        <color theme="1"/>
        <rFont val="Calibri"/>
        <family val="2"/>
        <scheme val="minor"/>
      </rPr>
      <t>Informality:</t>
    </r>
    <r>
      <rPr>
        <b/>
        <i/>
        <sz val="12"/>
        <color theme="1"/>
        <rFont val="Calibri"/>
        <family val="2"/>
        <scheme val="minor"/>
      </rPr>
      <t xml:space="preserve"> </t>
    </r>
    <r>
      <rPr>
        <sz val="12"/>
        <color theme="1"/>
        <rFont val="Calibri"/>
        <family val="2"/>
        <scheme val="minor"/>
      </rPr>
      <t xml:space="preserve"> the climate tends to be informal, confortable, and relaxed.  There are no obvoius tensions or signs of boredom.</t>
    </r>
  </si>
  <si>
    <r>
      <rPr>
        <b/>
        <i/>
        <sz val="14"/>
        <color theme="1"/>
        <rFont val="Calibri"/>
        <family val="2"/>
        <scheme val="minor"/>
      </rPr>
      <t>Participation:</t>
    </r>
    <r>
      <rPr>
        <sz val="12"/>
        <color theme="1"/>
        <rFont val="Calibri"/>
        <family val="2"/>
        <scheme val="minor"/>
      </rPr>
      <t xml:space="preserve">  There is a lot of discussion, and everyone is encouraged to participate.</t>
    </r>
  </si>
  <si>
    <r>
      <rPr>
        <b/>
        <i/>
        <sz val="14"/>
        <color theme="1"/>
        <rFont val="Calibri"/>
        <family val="2"/>
        <scheme val="minor"/>
      </rPr>
      <t>Listening:</t>
    </r>
    <r>
      <rPr>
        <sz val="14"/>
        <color theme="1"/>
        <rFont val="Calibri"/>
        <family val="2"/>
        <scheme val="minor"/>
      </rPr>
      <t xml:space="preserve"> </t>
    </r>
    <r>
      <rPr>
        <sz val="12"/>
        <color theme="1"/>
        <rFont val="Calibri"/>
        <family val="2"/>
        <scheme val="minor"/>
      </rPr>
      <t xml:space="preserve"> The members use effective listening techniques such as questioning, paraaphrasing, and summerizing to get out ideas.</t>
    </r>
  </si>
  <si>
    <r>
      <rPr>
        <b/>
        <i/>
        <sz val="14"/>
        <color theme="1"/>
        <rFont val="Calibri"/>
        <family val="2"/>
        <scheme val="minor"/>
      </rPr>
      <t>Civilized Disagreement:</t>
    </r>
    <r>
      <rPr>
        <sz val="14"/>
        <color theme="1"/>
        <rFont val="Calibri"/>
        <family val="2"/>
        <scheme val="minor"/>
      </rPr>
      <t xml:space="preserve"> </t>
    </r>
    <r>
      <rPr>
        <sz val="12"/>
        <color theme="1"/>
        <rFont val="Calibri"/>
        <family val="2"/>
        <scheme val="minor"/>
      </rPr>
      <t xml:space="preserve"> There is disagreement, but the team is comfortable with this and shows no signs of avoiding, smoothing over, or suppressing conflict.</t>
    </r>
  </si>
  <si>
    <r>
      <rPr>
        <b/>
        <i/>
        <sz val="14"/>
        <color theme="1"/>
        <rFont val="Calibri"/>
        <family val="2"/>
        <scheme val="minor"/>
      </rPr>
      <t>Consensus Decisions:</t>
    </r>
    <r>
      <rPr>
        <sz val="14"/>
        <color theme="1"/>
        <rFont val="Calibri"/>
        <family val="2"/>
        <scheme val="minor"/>
      </rPr>
      <t xml:space="preserve"> </t>
    </r>
    <r>
      <rPr>
        <sz val="12"/>
        <color theme="1"/>
        <rFont val="Calibri"/>
        <family val="2"/>
        <scheme val="minor"/>
      </rPr>
      <t>For important decisions, the goal is substantial but not necessarily unanimous agreement through open discussin of everyone's ideas and avoidance of formal voting and easy compromises.</t>
    </r>
  </si>
  <si>
    <r>
      <rPr>
        <b/>
        <i/>
        <sz val="14"/>
        <color theme="1"/>
        <rFont val="Calibri"/>
        <family val="2"/>
        <scheme val="minor"/>
      </rPr>
      <t>Open Communication:</t>
    </r>
    <r>
      <rPr>
        <sz val="14"/>
        <color theme="1"/>
        <rFont val="Calibri"/>
        <family val="2"/>
        <scheme val="minor"/>
      </rPr>
      <t xml:space="preserve"> </t>
    </r>
    <r>
      <rPr>
        <sz val="12"/>
        <color theme="1"/>
        <rFont val="Calibri"/>
        <family val="2"/>
        <scheme val="minor"/>
      </rPr>
      <t>Team members feel free to express their feelings on the task as well as on the group's operation.  There are few hidden agendas.  Communication takes place outside of meetings.</t>
    </r>
  </si>
  <si>
    <r>
      <rPr>
        <b/>
        <i/>
        <sz val="14"/>
        <color theme="1"/>
        <rFont val="Calibri"/>
        <family val="2"/>
        <scheme val="minor"/>
      </rPr>
      <t>Clear Roles and Work Assignments:</t>
    </r>
    <r>
      <rPr>
        <sz val="12"/>
        <color theme="1"/>
        <rFont val="Calibri"/>
        <family val="2"/>
        <scheme val="minor"/>
      </rPr>
      <t xml:space="preserve">  There are clear expectations about the roles played by each team member.  When action is taken, clear assignments are made, accepted, and carried out.  Work is fairly distributed among team members.</t>
    </r>
  </si>
  <si>
    <r>
      <rPr>
        <b/>
        <i/>
        <sz val="14"/>
        <color theme="1"/>
        <rFont val="Calibri"/>
        <family val="2"/>
        <scheme val="minor"/>
      </rPr>
      <t>Shared Leadership:</t>
    </r>
    <r>
      <rPr>
        <sz val="14"/>
        <color theme="1"/>
        <rFont val="Calibri"/>
        <family val="2"/>
        <scheme val="minor"/>
      </rPr>
      <t xml:space="preserve"> </t>
    </r>
    <r>
      <rPr>
        <sz val="12"/>
        <color theme="1"/>
        <rFont val="Calibri"/>
        <family val="2"/>
        <scheme val="minor"/>
      </rPr>
      <t xml:space="preserve"> Although the team has a formal leader, leadership functions shift from time to time depending on the circumstances, the needs of the group, and the skills of the members.  The formal leader models the appropriate behavior and helps establish positive norms.</t>
    </r>
  </si>
  <si>
    <r>
      <rPr>
        <b/>
        <i/>
        <sz val="14"/>
        <color theme="1"/>
        <rFont val="Calibri"/>
        <family val="2"/>
        <scheme val="minor"/>
      </rPr>
      <t>External Relations:</t>
    </r>
    <r>
      <rPr>
        <b/>
        <i/>
        <sz val="12"/>
        <color theme="1"/>
        <rFont val="Calibri"/>
        <family val="2"/>
        <scheme val="minor"/>
      </rPr>
      <t xml:space="preserve"> </t>
    </r>
    <r>
      <rPr>
        <sz val="12"/>
        <color theme="1"/>
        <rFont val="Calibri"/>
        <family val="2"/>
        <scheme val="minor"/>
      </rPr>
      <t xml:space="preserve"> The team spends time developing key outside relationships, mobilizing resources, and building credibility with important players in other parts of the organization.</t>
    </r>
  </si>
  <si>
    <r>
      <rPr>
        <b/>
        <i/>
        <sz val="14"/>
        <color theme="1"/>
        <rFont val="Calibri"/>
        <family val="2"/>
        <scheme val="minor"/>
      </rPr>
      <t>Style Diversity:</t>
    </r>
    <r>
      <rPr>
        <sz val="12"/>
        <color theme="1"/>
        <rFont val="Calibri"/>
        <family val="2"/>
        <scheme val="minor"/>
      </rPr>
      <t xml:space="preserve">  The team has a broad spectrum of team player types, including members who emphasize attention to task, goal setting, a focus on process, and qustions about how the team is functioning.</t>
    </r>
  </si>
  <si>
    <r>
      <rPr>
        <b/>
        <i/>
        <sz val="14"/>
        <color theme="1"/>
        <rFont val="Calibri"/>
        <family val="2"/>
        <scheme val="minor"/>
      </rPr>
      <t>Self-Assessment:</t>
    </r>
    <r>
      <rPr>
        <sz val="14"/>
        <color theme="1"/>
        <rFont val="Calibri"/>
        <family val="2"/>
        <scheme val="minor"/>
      </rPr>
      <t xml:space="preserve"> </t>
    </r>
    <r>
      <rPr>
        <sz val="12"/>
        <color theme="1"/>
        <rFont val="Calibri"/>
        <family val="2"/>
        <scheme val="minor"/>
      </rPr>
      <t xml:space="preserve"> Periodically, the team stops to examine how well it is functioning and what may be interfering with its effectiveness.</t>
    </r>
  </si>
  <si>
    <t>COMMENTS</t>
  </si>
  <si>
    <t>EMAIL SENDING INFORMATION</t>
  </si>
  <si>
    <t>TO:</t>
  </si>
  <si>
    <t>FROM:</t>
  </si>
  <si>
    <t>SUBJECT:</t>
  </si>
  <si>
    <t>PARKER TEAM-DEVELOPMENT SURVEY</t>
  </si>
  <si>
    <t>EMAIL INFORMATION</t>
  </si>
  <si>
    <t>d. raise questions about our goals or methods.</t>
  </si>
  <si>
    <t>c. am willing to disagree with him or her when necessary.</t>
  </si>
  <si>
    <t xml:space="preserve">b. provide reasons why one side or the other is correct. </t>
  </si>
  <si>
    <t>c. see the differences as a basis for a possible change in team direction.</t>
  </si>
  <si>
    <t>a. ensure the efficient solutions to problems.</t>
  </si>
  <si>
    <r>
      <rPr>
        <b/>
        <sz val="12"/>
        <color theme="1"/>
        <rFont val="Calibri"/>
        <family val="2"/>
        <scheme val="minor"/>
      </rPr>
      <t xml:space="preserve">DIRECTIONS:  </t>
    </r>
    <r>
      <rPr>
        <sz val="12"/>
        <color theme="1"/>
        <rFont val="Calibri"/>
        <family val="2"/>
        <scheme val="minor"/>
      </rPr>
      <t>Using the buttons next to each statement to indicate HOW OFTEN IS THE STATEMENT TRUE?</t>
    </r>
  </si>
  <si>
    <t>Planning</t>
  </si>
  <si>
    <t>Communication</t>
  </si>
  <si>
    <t>Risk Taking</t>
  </si>
  <si>
    <t>Problem Solving</t>
  </si>
  <si>
    <t>Decision Making</t>
  </si>
  <si>
    <t>HOW LEADERSHIP FUNCTIONS ARE CARRIED OUT</t>
  </si>
  <si>
    <t>Functions</t>
  </si>
  <si>
    <t>Likes new directions</t>
  </si>
  <si>
    <t>Pushes for "stretch" objectives</t>
  </si>
  <si>
    <t>Open</t>
  </si>
  <si>
    <t xml:space="preserve">Candid </t>
  </si>
  <si>
    <t>Confrontational</t>
  </si>
  <si>
    <t>Questioning</t>
  </si>
  <si>
    <t>Prefers meetings</t>
  </si>
  <si>
    <t>Focuses on potentials</t>
  </si>
  <si>
    <t>Pushes the frontiers</t>
  </si>
  <si>
    <t>Encourages innovation</t>
  </si>
  <si>
    <t>Support "good tries"</t>
  </si>
  <si>
    <t>Unstructured</t>
  </si>
  <si>
    <t>Looks for "real" problem</t>
  </si>
  <si>
    <t>Questions analysis</t>
  </si>
  <si>
    <t>Examines data</t>
  </si>
  <si>
    <t>Costs versus benefits</t>
  </si>
  <si>
    <t>Legal</t>
  </si>
  <si>
    <t>Ethical "Right"</t>
  </si>
  <si>
    <t>Probes for resistance</t>
  </si>
  <si>
    <t>Tactical</t>
  </si>
  <si>
    <t>Statistical</t>
  </si>
  <si>
    <t>Specific</t>
  </si>
  <si>
    <t>Measurable</t>
  </si>
  <si>
    <t>Conservative</t>
  </si>
  <si>
    <t>Economical</t>
  </si>
  <si>
    <t>Written</t>
  </si>
  <si>
    <t>Formal</t>
  </si>
  <si>
    <t>To the point</t>
  </si>
  <si>
    <t>Detailed</t>
  </si>
  <si>
    <t>Incremental</t>
  </si>
  <si>
    <t>Planner</t>
  </si>
  <si>
    <t>Pilot tested</t>
  </si>
  <si>
    <t>Researched</t>
  </si>
  <si>
    <t>Analytical</t>
  </si>
  <si>
    <t>Structured</t>
  </si>
  <si>
    <t>Data based</t>
  </si>
  <si>
    <t>Technical</t>
  </si>
  <si>
    <t>Rigorous</t>
  </si>
  <si>
    <t>Logical</t>
  </si>
  <si>
    <t>Mainstream</t>
  </si>
  <si>
    <t>Cost-effective</t>
  </si>
  <si>
    <t>Practical</t>
  </si>
  <si>
    <t>Consistent</t>
  </si>
  <si>
    <t xml:space="preserve">Favors involvement </t>
  </si>
  <si>
    <t>Emphasizes process</t>
  </si>
  <si>
    <t>Facilitates conflicts</t>
  </si>
  <si>
    <t>Favors handds-on solutions</t>
  </si>
  <si>
    <t>Participative</t>
  </si>
  <si>
    <t>Uses consensus</t>
  </si>
  <si>
    <t>Open to both sides</t>
  </si>
  <si>
    <t>Consistent with goals</t>
  </si>
  <si>
    <t>Looks for commitment</t>
  </si>
  <si>
    <t xml:space="preserve">Revisits decciions </t>
  </si>
  <si>
    <t>Wants Involvement</t>
  </si>
  <si>
    <t>Looks for context</t>
  </si>
  <si>
    <t>Looks for implications</t>
  </si>
  <si>
    <t xml:space="preserve">Pitches in </t>
  </si>
  <si>
    <t>Gives Credit</t>
  </si>
  <si>
    <t>Gets resources</t>
  </si>
  <si>
    <t>Total involvement</t>
  </si>
  <si>
    <t>Wide acceptance</t>
  </si>
  <si>
    <t>Agreement on process</t>
  </si>
  <si>
    <t>Warm and friendly</t>
  </si>
  <si>
    <t>Informal</t>
  </si>
  <si>
    <t>Uses humor</t>
  </si>
  <si>
    <t>Emphasizes confort</t>
  </si>
  <si>
    <t>Listens</t>
  </si>
  <si>
    <t>Explores impact on team process</t>
  </si>
  <si>
    <t>Favors process risks</t>
  </si>
  <si>
    <t>Discusses consequences of risks</t>
  </si>
  <si>
    <t>Gives feedback</t>
  </si>
  <si>
    <t xml:space="preserve">Strategic </t>
  </si>
  <si>
    <t>Big picture</t>
  </si>
  <si>
    <t>Involving</t>
  </si>
  <si>
    <t>General</t>
  </si>
  <si>
    <t>Verbal</t>
  </si>
  <si>
    <t>Uses telephone</t>
  </si>
  <si>
    <t>Organizational</t>
  </si>
  <si>
    <t>Liberal</t>
  </si>
  <si>
    <t>Open to all ideas</t>
  </si>
  <si>
    <t>Goal directed</t>
  </si>
  <si>
    <t>Accepts risks</t>
  </si>
  <si>
    <t>Resists leader control</t>
  </si>
  <si>
    <t>Visionary</t>
  </si>
  <si>
    <t>Forming</t>
  </si>
  <si>
    <t>Storming</t>
  </si>
  <si>
    <t>Norming</t>
  </si>
  <si>
    <t>Performing</t>
  </si>
  <si>
    <t>(Tuckman, B.W. , "Developmental Sequence in Small Groups," Psychological Bulletin, 1965, 63(6), pp. 384-399)</t>
  </si>
  <si>
    <t>Tuckman</t>
  </si>
  <si>
    <t>POSITIVE ACTIONS</t>
  </si>
  <si>
    <t>CONCERNS</t>
  </si>
  <si>
    <r>
      <t xml:space="preserve">RELATIONSHIP BETWEEN STYLE AND </t>
    </r>
    <r>
      <rPr>
        <b/>
        <u/>
        <sz val="14"/>
        <color theme="1"/>
        <rFont val="Calibri"/>
        <family val="2"/>
        <scheme val="minor"/>
      </rPr>
      <t xml:space="preserve">TUCKMAN TEAM DEVELOPMENT </t>
    </r>
    <r>
      <rPr>
        <b/>
        <sz val="14"/>
        <color theme="1"/>
        <rFont val="Calibri"/>
        <family val="2"/>
        <scheme val="minor"/>
      </rPr>
      <t>STAGES</t>
    </r>
  </si>
  <si>
    <t>FORMING</t>
  </si>
  <si>
    <t>STORMING</t>
  </si>
  <si>
    <t>NORMING</t>
  </si>
  <si>
    <t>PERFORMING</t>
  </si>
  <si>
    <t>Positive</t>
  </si>
  <si>
    <t>Concerns</t>
  </si>
  <si>
    <t>Ask if team is satisfied with mission.</t>
  </si>
  <si>
    <t>Express your reservations.</t>
  </si>
  <si>
    <t>Suggest a discussion of member concerns.</t>
  </si>
  <si>
    <t>Model positive confrontational behavior.</t>
  </si>
  <si>
    <t>Be willing to back off when a consensus emerges.</t>
  </si>
  <si>
    <t>Push the team to take well-conceived risks.</t>
  </si>
  <si>
    <t>Is the team serious?</t>
  </si>
  <si>
    <t>Openness</t>
  </si>
  <si>
    <t>Receptivity to leader</t>
  </si>
  <si>
    <t>Will team be receptive to minority opinions?</t>
  </si>
  <si>
    <t>Will leader allow differences to surface?</t>
  </si>
  <si>
    <t>Initiate discussion of tasks and roles.</t>
  </si>
  <si>
    <t>Ask leader for direction.</t>
  </si>
  <si>
    <t>Offer to take on a start-up assignment.</t>
  </si>
  <si>
    <t>Ask for data to support opinions.</t>
  </si>
  <si>
    <t>Remind team of need for homework.</t>
  </si>
  <si>
    <t>Remain objective.</t>
  </si>
  <si>
    <t>My role</t>
  </si>
  <si>
    <t>Expectations of me</t>
  </si>
  <si>
    <t>Time commitments and my tasks</t>
  </si>
  <si>
    <t>More heat than light?</t>
  </si>
  <si>
    <t>Will any work get done?</t>
  </si>
  <si>
    <t>Can we be objective?</t>
  </si>
  <si>
    <t>Membership</t>
  </si>
  <si>
    <t>Resources of Members</t>
  </si>
  <si>
    <t>Model good listening.</t>
  </si>
  <si>
    <t>Suggest Norms for resolving conflicts.</t>
  </si>
  <si>
    <t>Encourage the expression of all views</t>
  </si>
  <si>
    <t>Ask how members were selected.</t>
  </si>
  <si>
    <t>Ask that members introduce themselves.</t>
  </si>
  <si>
    <t>Suggest a team "talent bank"</t>
  </si>
  <si>
    <t>Will Members listen?</t>
  </si>
  <si>
    <t>Will members attack each other?</t>
  </si>
  <si>
    <t>Will members look at both sides?</t>
  </si>
  <si>
    <t>Mission of team</t>
  </si>
  <si>
    <t>Goals</t>
  </si>
  <si>
    <t>Leader's vision of team</t>
  </si>
  <si>
    <t>Ask for leader's views.</t>
  </si>
  <si>
    <t>Offer your view.</t>
  </si>
  <si>
    <t>Suggest a discussion of team mission and goals.</t>
  </si>
  <si>
    <t>Can we move forward?</t>
  </si>
  <si>
    <t>Will conflicts lead to failure to help others?</t>
  </si>
  <si>
    <t>Will conflicts dilute commitment?</t>
  </si>
  <si>
    <t>Be willing to help others.</t>
  </si>
  <si>
    <t>Ask how opinions impact team mission.</t>
  </si>
  <si>
    <t>Be open to new ideas.</t>
  </si>
  <si>
    <t>Will emphasis on process go too far?</t>
  </si>
  <si>
    <t>Remind the team that consensus does not eliminate disagreement.</t>
  </si>
  <si>
    <t>Suggest an assessment of team process.</t>
  </si>
  <si>
    <t>Use feedback skills.</t>
  </si>
  <si>
    <t>Will team take the time to acknowledge success?</t>
  </si>
  <si>
    <t>Will members revert to lack of concern for process?</t>
  </si>
  <si>
    <t>Initiate positive celebrations of accomplishments.</t>
  </si>
  <si>
    <t>Challenge the team to maintain norms.</t>
  </si>
  <si>
    <t>Give feedback to members.</t>
  </si>
  <si>
    <t>Will the team stay focused on goals?</t>
  </si>
  <si>
    <t>Will we continue to make progress?</t>
  </si>
  <si>
    <t>Keep the team focused on the big picture.</t>
  </si>
  <si>
    <t>Ask the team to revisit goasl periodically.</t>
  </si>
  <si>
    <t>Is it time for a new mission?</t>
  </si>
  <si>
    <t>Does the team need to revise goals?</t>
  </si>
  <si>
    <t>Facilitate brainstorming sessions focusing on the future.</t>
  </si>
  <si>
    <t>Acceptance and Inclusion</t>
  </si>
  <si>
    <t>Will team be open to revising its mission?</t>
  </si>
  <si>
    <t>Is drive for consensus masking real disagreements?</t>
  </si>
  <si>
    <t>Collaborators play a key role in keeping a team goal-directed and focused on the steps necessary to reach that goal.  They serve as models by working outside their prescribed jobs and being willing to spread around the rewards of team success.  In a crisis, they will drop everything to help out other team members.  They are open to new ideas that may impact the team's efforts and to feedback about their own performance.</t>
  </si>
  <si>
    <r>
      <t>❶</t>
    </r>
    <r>
      <rPr>
        <sz val="10"/>
        <color theme="1"/>
        <rFont val="Calibri"/>
        <family val="2"/>
        <scheme val="minor"/>
      </rPr>
      <t xml:space="preserve"> Candidly shares views about the work of the team
</t>
    </r>
    <r>
      <rPr>
        <sz val="10"/>
        <color theme="1"/>
        <rFont val="Calibri"/>
        <family val="2"/>
      </rPr>
      <t>❷</t>
    </r>
    <r>
      <rPr>
        <sz val="10"/>
        <color theme="1"/>
        <rFont val="Calibri"/>
        <family val="2"/>
        <scheme val="minor"/>
      </rPr>
      <t xml:space="preserve"> Is willing to disagree openly with the leadership of the team
</t>
    </r>
    <r>
      <rPr>
        <sz val="10"/>
        <color theme="1"/>
        <rFont val="Calibri"/>
        <family val="2"/>
      </rPr>
      <t>❸</t>
    </r>
    <r>
      <rPr>
        <sz val="10"/>
        <color theme="1"/>
        <rFont val="Calibri"/>
        <family val="2"/>
        <scheme val="minor"/>
      </rPr>
      <t xml:space="preserve"> Often raises questions about the team's goals
</t>
    </r>
    <r>
      <rPr>
        <sz val="10"/>
        <color theme="1"/>
        <rFont val="Calibri"/>
        <family val="2"/>
      </rPr>
      <t>❹</t>
    </r>
    <r>
      <rPr>
        <sz val="10"/>
        <color theme="1"/>
        <rFont val="Calibri"/>
        <family val="2"/>
        <scheme val="minor"/>
      </rPr>
      <t xml:space="preserve"> Pushes the team to set high ethical standards for work
</t>
    </r>
    <r>
      <rPr>
        <sz val="10"/>
        <color theme="1"/>
        <rFont val="Calibri"/>
        <family val="2"/>
      </rPr>
      <t>❺</t>
    </r>
    <r>
      <rPr>
        <sz val="10"/>
        <color theme="1"/>
        <rFont val="Calibri"/>
        <family val="2"/>
        <scheme val="minor"/>
      </rPr>
      <t xml:space="preserve"> Speaks out even when views are contrary to those of a vast majority of the team
</t>
    </r>
    <r>
      <rPr>
        <sz val="10"/>
        <color theme="1"/>
        <rFont val="Calibri"/>
        <family val="2"/>
      </rPr>
      <t>❻</t>
    </r>
    <r>
      <rPr>
        <sz val="10"/>
        <color theme="1"/>
        <rFont val="Calibri"/>
        <family val="2"/>
        <scheme val="minor"/>
      </rPr>
      <t xml:space="preserve"> Asks "why?" and "how?" and other relevant questions about presentations at team meetings
</t>
    </r>
    <r>
      <rPr>
        <sz val="10"/>
        <color theme="1"/>
        <rFont val="Calibri"/>
        <family val="2"/>
      </rPr>
      <t>❼</t>
    </r>
    <r>
      <rPr>
        <sz val="10"/>
        <color theme="1"/>
        <rFont val="Calibri"/>
        <family val="2"/>
        <scheme val="minor"/>
      </rPr>
      <t xml:space="preserve"> Sometimes is accused of not being a team player because he or she differs with the conventional wisdom
</t>
    </r>
    <r>
      <rPr>
        <sz val="10"/>
        <color theme="1"/>
        <rFont val="Calibri"/>
        <family val="2"/>
      </rPr>
      <t>❽</t>
    </r>
    <r>
      <rPr>
        <sz val="10"/>
        <color theme="1"/>
        <rFont val="Calibri"/>
        <family val="2"/>
        <scheme val="minor"/>
      </rPr>
      <t xml:space="preserve"> Challenges the team to take well-conceived risks
</t>
    </r>
    <r>
      <rPr>
        <sz val="10"/>
        <color theme="1"/>
        <rFont val="Calibri"/>
        <family val="2"/>
      </rPr>
      <t>❾</t>
    </r>
    <r>
      <rPr>
        <sz val="10"/>
        <color theme="1"/>
        <rFont val="Calibri"/>
        <family val="2"/>
        <scheme val="minor"/>
      </rPr>
      <t xml:space="preserve"> Is honest in reporting team progress and starting problems facing the team
</t>
    </r>
    <r>
      <rPr>
        <sz val="10"/>
        <color theme="1"/>
        <rFont val="Calibri"/>
        <family val="2"/>
      </rPr>
      <t>❿</t>
    </r>
    <r>
      <rPr>
        <sz val="10"/>
        <color theme="1"/>
        <rFont val="Calibri"/>
        <family val="2"/>
        <scheme val="minor"/>
      </rPr>
      <t xml:space="preserve"> Is willing to blow the whistle on illegal and unethical activities of the team
</t>
    </r>
    <r>
      <rPr>
        <sz val="10"/>
        <color theme="1"/>
        <rFont val="Calibri"/>
        <family val="2"/>
      </rPr>
      <t>⓫ Will back off when views are not accepted and will support a legitimate team consensus</t>
    </r>
  </si>
  <si>
    <r>
      <t>❶</t>
    </r>
    <r>
      <rPr>
        <sz val="10"/>
        <color theme="1"/>
        <rFont val="Calibri"/>
        <family val="2"/>
        <scheme val="minor"/>
      </rPr>
      <t xml:space="preserve"> Freely shares all relevant information and opinions with other team members
</t>
    </r>
    <r>
      <rPr>
        <sz val="10"/>
        <color theme="1"/>
        <rFont val="Calibri"/>
        <family val="2"/>
      </rPr>
      <t>❷</t>
    </r>
    <r>
      <rPr>
        <sz val="10"/>
        <color theme="1"/>
        <rFont val="Calibri"/>
        <family val="2"/>
        <scheme val="minor"/>
      </rPr>
      <t xml:space="preserve"> Helps the Team use its time and resources
</t>
    </r>
    <r>
      <rPr>
        <sz val="10"/>
        <color theme="1"/>
        <rFont val="Calibri"/>
        <family val="2"/>
      </rPr>
      <t>❸</t>
    </r>
    <r>
      <rPr>
        <sz val="10"/>
        <color theme="1"/>
        <rFont val="Calibri"/>
        <family val="2"/>
        <scheme val="minor"/>
      </rPr>
      <t xml:space="preserve"> Pushes the team to set high standards and to achieve top-level results and insists on high-quality output
</t>
    </r>
    <r>
      <rPr>
        <sz val="10"/>
        <color theme="1"/>
        <rFont val="Calibri"/>
        <family val="2"/>
      </rPr>
      <t>❹</t>
    </r>
    <r>
      <rPr>
        <sz val="10"/>
        <color theme="1"/>
        <rFont val="Calibri"/>
        <family val="2"/>
        <scheme val="minor"/>
      </rPr>
      <t xml:space="preserve"> Completes all team assignments and other relevant homework necessary for the completion of team tasks
</t>
    </r>
    <r>
      <rPr>
        <sz val="10"/>
        <color theme="1"/>
        <rFont val="Calibri"/>
        <family val="2"/>
      </rPr>
      <t>❺</t>
    </r>
    <r>
      <rPr>
        <sz val="10"/>
        <color theme="1"/>
        <rFont val="Calibri"/>
        <family val="2"/>
        <scheme val="minor"/>
      </rPr>
      <t xml:space="preserve"> Accepts responsibility for all actions as a team member
</t>
    </r>
    <r>
      <rPr>
        <sz val="10"/>
        <color theme="1"/>
        <rFont val="Calibri"/>
        <family val="2"/>
      </rPr>
      <t>❻</t>
    </r>
    <r>
      <rPr>
        <sz val="10"/>
        <color theme="1"/>
        <rFont val="Calibri"/>
        <family val="2"/>
        <scheme val="minor"/>
      </rPr>
      <t xml:space="preserve"> Completes all work in his or her regular job area and all other tasks not related to the team
</t>
    </r>
    <r>
      <rPr>
        <sz val="10"/>
        <color theme="1"/>
        <rFont val="Calibri"/>
        <family val="2"/>
      </rPr>
      <t>❼</t>
    </r>
    <r>
      <rPr>
        <sz val="10"/>
        <color theme="1"/>
        <rFont val="Calibri"/>
        <family val="2"/>
        <scheme val="minor"/>
      </rPr>
      <t xml:space="preserve"> Provides the team with clear, concise, and useful presentations at team meetings
</t>
    </r>
    <r>
      <rPr>
        <sz val="10"/>
        <color theme="1"/>
        <rFont val="Calibri"/>
        <family val="2"/>
      </rPr>
      <t>❽</t>
    </r>
    <r>
      <rPr>
        <sz val="10"/>
        <color theme="1"/>
        <rFont val="Calibri"/>
        <family val="2"/>
        <scheme val="minor"/>
      </rPr>
      <t xml:space="preserve"> Provides technical training for other team members and serves as a mentor for new team members
</t>
    </r>
    <r>
      <rPr>
        <sz val="10"/>
        <color theme="1"/>
        <rFont val="Calibri"/>
        <family val="2"/>
      </rPr>
      <t>❾</t>
    </r>
    <r>
      <rPr>
        <sz val="10"/>
        <color theme="1"/>
        <rFont val="Calibri"/>
        <family val="2"/>
        <scheme val="minor"/>
      </rPr>
      <t xml:space="preserve"> Has a clear set of priorities
</t>
    </r>
    <r>
      <rPr>
        <sz val="10"/>
        <color theme="1"/>
        <rFont val="Calibri"/>
        <family val="2"/>
      </rPr>
      <t>❿</t>
    </r>
    <r>
      <rPr>
        <sz val="10"/>
        <color theme="1"/>
        <rFont val="Calibri"/>
        <family val="2"/>
        <scheme val="minor"/>
      </rPr>
      <t xml:space="preserve"> Develops skills and expertise in the use of web-based tools, teleconferencing, and video conferencing</t>
    </r>
  </si>
  <si>
    <r>
      <t>❶</t>
    </r>
    <r>
      <rPr>
        <sz val="10"/>
        <color theme="1"/>
        <rFont val="Calibri"/>
        <family val="2"/>
        <scheme val="minor"/>
      </rPr>
      <t xml:space="preserve"> Steps in to resolve process problems such as conflict among team members or lack of involvement by some members
</t>
    </r>
    <r>
      <rPr>
        <sz val="10"/>
        <color theme="1"/>
        <rFont val="Calibri"/>
        <family val="2"/>
      </rPr>
      <t>❷</t>
    </r>
    <r>
      <rPr>
        <sz val="10"/>
        <color theme="1"/>
        <rFont val="Calibri"/>
        <family val="2"/>
        <scheme val="minor"/>
      </rPr>
      <t xml:space="preserve"> Listens attentively to all viewpoints, while withholding judgment
</t>
    </r>
    <r>
      <rPr>
        <sz val="10"/>
        <color theme="1"/>
        <rFont val="Calibri"/>
        <family val="2"/>
      </rPr>
      <t>❸</t>
    </r>
    <r>
      <rPr>
        <sz val="10"/>
        <color theme="1"/>
        <rFont val="Calibri"/>
        <family val="2"/>
        <scheme val="minor"/>
      </rPr>
      <t xml:space="preserve"> Helps the team relax and have fun by joking, laughing, and discussing personal interests
</t>
    </r>
    <r>
      <rPr>
        <sz val="10"/>
        <color theme="1"/>
        <rFont val="Calibri"/>
        <family val="2"/>
      </rPr>
      <t>❹ R</t>
    </r>
    <r>
      <rPr>
        <sz val="10"/>
        <color theme="1"/>
        <rFont val="Calibri"/>
        <family val="2"/>
        <scheme val="minor"/>
      </rPr>
      <t xml:space="preserve">ecognizes and praises other tm members for their efforts and helps the leader come up with new ways of acknowledging
       the contributions of members
</t>
    </r>
    <r>
      <rPr>
        <sz val="10"/>
        <color theme="1"/>
        <rFont val="Calibri"/>
        <family val="2"/>
      </rPr>
      <t xml:space="preserve">❺ </t>
    </r>
    <r>
      <rPr>
        <sz val="10"/>
        <color theme="1"/>
        <rFont val="Calibri"/>
        <family val="2"/>
        <scheme val="minor"/>
      </rPr>
      <t xml:space="preserve">Communicates enthusiasm and an sense of urgency about the team's work
</t>
    </r>
    <r>
      <rPr>
        <sz val="10"/>
        <color theme="1"/>
        <rFont val="Calibri"/>
        <family val="2"/>
      </rPr>
      <t xml:space="preserve">❻ </t>
    </r>
    <r>
      <rPr>
        <sz val="10"/>
        <color theme="1"/>
        <rFont val="Calibri"/>
        <family val="2"/>
        <scheme val="minor"/>
      </rPr>
      <t xml:space="preserve">Periodically summarizes the status of a discussion or proposes a possible consensus
</t>
    </r>
    <r>
      <rPr>
        <sz val="10"/>
        <color theme="1"/>
        <rFont val="Calibri"/>
        <family val="2"/>
      </rPr>
      <t xml:space="preserve">❼ </t>
    </r>
    <r>
      <rPr>
        <sz val="10"/>
        <color theme="1"/>
        <rFont val="Calibri"/>
        <family val="2"/>
        <scheme val="minor"/>
      </rPr>
      <t xml:space="preserve">Encourages other team members to participate in the discussions and decisions of the team, with special attention
       given to members for whom English is not their primary language
</t>
    </r>
    <r>
      <rPr>
        <sz val="10"/>
        <color theme="1"/>
        <rFont val="Calibri"/>
        <family val="2"/>
      </rPr>
      <t>❽</t>
    </r>
    <r>
      <rPr>
        <sz val="10"/>
        <color theme="1"/>
        <rFont val="Calibri"/>
        <family val="2"/>
        <scheme val="minor"/>
      </rPr>
      <t xml:space="preserve"> Helps the people on the team get to know each other and to know what skills and resources each can contribute
</t>
    </r>
    <r>
      <rPr>
        <sz val="10"/>
        <color theme="1"/>
        <rFont val="Calibri"/>
        <family val="2"/>
      </rPr>
      <t>❾</t>
    </r>
    <r>
      <rPr>
        <sz val="10"/>
        <color theme="1"/>
        <rFont val="Calibri"/>
        <family val="2"/>
        <scheme val="minor"/>
      </rPr>
      <t xml:space="preserve"> Gives feedback to other team members-feedback that is descriptive, specific, and intended to be helpful
</t>
    </r>
    <r>
      <rPr>
        <sz val="10"/>
        <color theme="1"/>
        <rFont val="Calibri"/>
        <family val="2"/>
      </rPr>
      <t>❿</t>
    </r>
    <r>
      <rPr>
        <sz val="10"/>
        <color theme="1"/>
        <rFont val="Calibri"/>
        <family val="2"/>
        <scheme val="minor"/>
      </rPr>
      <t xml:space="preserve"> Receives feedback from other team members without becoming defensive
</t>
    </r>
    <r>
      <rPr>
        <sz val="10"/>
        <color theme="1"/>
        <rFont val="Calibri"/>
        <family val="2"/>
      </rPr>
      <t>⓫ Reminds the team to take the time periodically to assess team effectiveness and plan for improvement</t>
    </r>
  </si>
  <si>
    <t>Will tough questions continue to be asked?</t>
  </si>
  <si>
    <t>Will risk taking be reduced?</t>
  </si>
  <si>
    <t>Ask tough questions and encourage others to do so.</t>
  </si>
  <si>
    <t>Confront groupthink.</t>
  </si>
  <si>
    <t>Encourage risk taking.</t>
  </si>
  <si>
    <t>Confront team with indicators of stagnation.</t>
  </si>
  <si>
    <t>Initiate discussion of environmental changes.</t>
  </si>
  <si>
    <t>Question assumptions of success.</t>
  </si>
  <si>
    <t>Will team react badly to changes?</t>
  </si>
  <si>
    <t>Will members confront sighs of stagnation?</t>
  </si>
  <si>
    <t>Will standards be maintained?</t>
  </si>
  <si>
    <t>Will all resources be used?</t>
  </si>
  <si>
    <t>Insist on high-quality work.</t>
  </si>
  <si>
    <t>Push for priority setting.</t>
  </si>
  <si>
    <t>Take responsibility: don't wait to be asked.</t>
  </si>
  <si>
    <t>Will team slip on responsibilities?</t>
  </si>
  <si>
    <t>Will team react quickly?</t>
  </si>
  <si>
    <t>Push to maintain standards.</t>
  </si>
  <si>
    <t>Propose an examination of needs and resources.</t>
  </si>
  <si>
    <t>Recommend new and challenging assignments.</t>
  </si>
  <si>
    <t>Will members stay current on issues?</t>
  </si>
  <si>
    <t>c. make sure everyone is involved in the discussion.</t>
  </si>
  <si>
    <t>b. try to help him or her build a positive team climate.</t>
  </si>
  <si>
    <t>a. a perfectionist.</t>
  </si>
  <si>
    <t>a. dishonest because they are not able to be as confrontational as I am.</t>
  </si>
  <si>
    <t>d. the weight of the evidence.</t>
  </si>
  <si>
    <t>Sometimes I</t>
  </si>
  <si>
    <t>d. overemphasize strategic issues and minimize short-term task accomplishments.</t>
  </si>
  <si>
    <t>b. see the importance of working well together.</t>
  </si>
  <si>
    <r>
      <rPr>
        <b/>
        <sz val="12"/>
        <color theme="1"/>
        <rFont val="Calibri"/>
        <family val="2"/>
        <scheme val="minor"/>
      </rPr>
      <t>DIRECTIONS:</t>
    </r>
    <r>
      <rPr>
        <sz val="11"/>
        <color theme="1"/>
        <rFont val="Calibri"/>
        <family val="2"/>
        <scheme val="minor"/>
      </rPr>
      <t xml:space="preserve"> First, there are no right or wrong answers.  Answer each item according to how you honestly feel you function now as a team member rather than how you used to be or how you would like to be.
Complete each of the following eighteen sentences.  Each sentence has four possible endings.  </t>
    </r>
    <r>
      <rPr>
        <u/>
        <sz val="11"/>
        <color theme="1"/>
        <rFont val="Calibri"/>
        <family val="2"/>
        <scheme val="minor"/>
      </rPr>
      <t>Rank</t>
    </r>
    <r>
      <rPr>
        <sz val="11"/>
        <color theme="1"/>
        <rFont val="Calibri"/>
        <family val="2"/>
        <scheme val="minor"/>
      </rPr>
      <t xml:space="preserve"> the endings in the order in which you feel each one applies to you.  
</t>
    </r>
    <r>
      <rPr>
        <sz val="11"/>
        <color theme="1"/>
        <rFont val="Symbol"/>
        <family val="1"/>
        <charset val="2"/>
      </rPr>
      <t>·</t>
    </r>
    <r>
      <rPr>
        <sz val="11"/>
        <color theme="1"/>
        <rFont val="Calibri"/>
        <family val="2"/>
      </rPr>
      <t xml:space="preserve">  </t>
    </r>
    <r>
      <rPr>
        <sz val="11"/>
        <color theme="1"/>
        <rFont val="Calibri"/>
        <family val="2"/>
        <scheme val="minor"/>
      </rPr>
      <t xml:space="preserve">Place the number </t>
    </r>
    <r>
      <rPr>
        <b/>
        <sz val="11"/>
        <color theme="1"/>
        <rFont val="Calibri"/>
        <family val="2"/>
        <scheme val="minor"/>
      </rPr>
      <t>4</t>
    </r>
    <r>
      <rPr>
        <sz val="11"/>
        <color theme="1"/>
        <rFont val="Calibri"/>
        <family val="2"/>
        <scheme val="minor"/>
      </rPr>
      <t xml:space="preserve"> next to the ending that is </t>
    </r>
    <r>
      <rPr>
        <b/>
        <sz val="11"/>
        <color theme="1"/>
        <rFont val="Calibri"/>
        <family val="2"/>
        <scheme val="minor"/>
      </rPr>
      <t>MOST</t>
    </r>
    <r>
      <rPr>
        <sz val="11"/>
        <color theme="1"/>
        <rFont val="Calibri"/>
        <family val="2"/>
        <scheme val="minor"/>
      </rPr>
      <t xml:space="preserve"> applicable to you, and 
</t>
    </r>
    <r>
      <rPr>
        <sz val="11"/>
        <color theme="1"/>
        <rFont val="Symbol"/>
        <family val="1"/>
        <charset val="2"/>
      </rPr>
      <t>·</t>
    </r>
    <r>
      <rPr>
        <sz val="11"/>
        <color theme="1"/>
        <rFont val="Calibri"/>
        <family val="2"/>
      </rPr>
      <t xml:space="preserve">  </t>
    </r>
    <r>
      <rPr>
        <sz val="11"/>
        <color theme="1"/>
        <rFont val="Calibri"/>
        <family val="2"/>
        <scheme val="minor"/>
      </rPr>
      <t xml:space="preserve">continue down to a </t>
    </r>
    <r>
      <rPr>
        <b/>
        <sz val="11"/>
        <color theme="1"/>
        <rFont val="Calibri"/>
        <family val="2"/>
        <scheme val="minor"/>
      </rPr>
      <t>1</t>
    </r>
    <r>
      <rPr>
        <sz val="11"/>
        <color theme="1"/>
        <rFont val="Calibri"/>
        <family val="2"/>
        <scheme val="minor"/>
      </rPr>
      <t xml:space="preserve"> next to the ending that is </t>
    </r>
    <r>
      <rPr>
        <b/>
        <sz val="11"/>
        <color theme="1"/>
        <rFont val="Calibri"/>
        <family val="2"/>
        <scheme val="minor"/>
      </rPr>
      <t>LEAST</t>
    </r>
    <r>
      <rPr>
        <sz val="11"/>
        <color theme="1"/>
        <rFont val="Calibri"/>
        <family val="2"/>
        <scheme val="minor"/>
      </rPr>
      <t xml:space="preserve"> applicable to you.
Do not make ties or use 4, 3, 2, or 1 more than once.  Make sure 4, 3, 2, and 1 are used at least once.  NC in Column A indicates that the Question Responses are not completed properly.</t>
    </r>
  </si>
</sst>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4"/>
      <color theme="1"/>
      <name val="Calibri"/>
      <family val="2"/>
      <scheme val="minor"/>
    </font>
    <font>
      <sz val="11"/>
      <color theme="1"/>
      <name val="Symbol"/>
      <family val="1"/>
      <charset val="2"/>
    </font>
    <font>
      <sz val="11"/>
      <color theme="1"/>
      <name val="Calibri"/>
      <family val="2"/>
    </font>
    <font>
      <u/>
      <sz val="11"/>
      <color theme="1"/>
      <name val="Calibri"/>
      <family val="2"/>
      <scheme val="minor"/>
    </font>
    <font>
      <sz val="10"/>
      <color theme="1"/>
      <name val="Calibri"/>
      <family val="2"/>
      <scheme val="minor"/>
    </font>
    <font>
      <sz val="14"/>
      <color theme="1"/>
      <name val="Calibri"/>
      <family val="2"/>
      <scheme val="minor"/>
    </font>
    <font>
      <sz val="10"/>
      <color theme="1"/>
      <name val="Calibri"/>
      <family val="2"/>
    </font>
    <font>
      <b/>
      <sz val="10"/>
      <color theme="1"/>
      <name val="Calibri"/>
      <family val="2"/>
      <scheme val="minor"/>
    </font>
    <font>
      <b/>
      <u/>
      <sz val="14"/>
      <color theme="1"/>
      <name val="Calibri"/>
      <family val="2"/>
      <scheme val="minor"/>
    </font>
    <font>
      <sz val="12"/>
      <color theme="1"/>
      <name val="Calibri"/>
      <family val="2"/>
      <scheme val="minor"/>
    </font>
    <font>
      <b/>
      <i/>
      <sz val="12"/>
      <color theme="1"/>
      <name val="Calibri"/>
      <family val="2"/>
      <scheme val="minor"/>
    </font>
    <font>
      <b/>
      <sz val="16"/>
      <color theme="1"/>
      <name val="Calibri"/>
      <family val="2"/>
      <scheme val="minor"/>
    </font>
    <font>
      <sz val="16"/>
      <color theme="1"/>
      <name val="Calibri"/>
      <family val="2"/>
      <scheme val="minor"/>
    </font>
    <font>
      <b/>
      <i/>
      <sz val="14"/>
      <color theme="1"/>
      <name val="Calibri"/>
      <family val="2"/>
      <scheme val="minor"/>
    </font>
    <font>
      <sz val="12"/>
      <color theme="0"/>
      <name val="Calibri"/>
      <family val="2"/>
      <scheme val="minor"/>
    </font>
    <font>
      <u/>
      <sz val="11"/>
      <color theme="10"/>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99"/>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4" tint="0.59999389629810485"/>
        <bgColor indexed="64"/>
      </patternFill>
    </fill>
  </fills>
  <borders count="23">
    <border>
      <left/>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rgb="FFFFFFFF"/>
      </left>
      <right style="medium">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top/>
      <bottom style="dashed">
        <color indexed="64"/>
      </bottom>
      <diagonal/>
    </border>
    <border>
      <left/>
      <right/>
      <top style="dashed">
        <color indexed="64"/>
      </top>
      <bottom/>
      <diagonal/>
    </border>
  </borders>
  <cellStyleXfs count="2">
    <xf numFmtId="0" fontId="0" fillId="0" borderId="0"/>
    <xf numFmtId="0" fontId="19" fillId="0" borderId="0" applyNumberFormat="0" applyFill="0" applyBorder="0" applyAlignment="0" applyProtection="0"/>
  </cellStyleXfs>
  <cellXfs count="134">
    <xf numFmtId="0" fontId="0" fillId="0" borderId="0" xfId="0"/>
    <xf numFmtId="49" fontId="0" fillId="0" borderId="0" xfId="0" applyNumberFormat="1" applyAlignment="1">
      <alignment horizontal="left" vertical="center"/>
    </xf>
    <xf numFmtId="49" fontId="0" fillId="0" borderId="0" xfId="0" applyNumberFormat="1" applyAlignment="1">
      <alignment horizontal="right" vertical="center"/>
    </xf>
    <xf numFmtId="49" fontId="0" fillId="2" borderId="0" xfId="0" applyNumberFormat="1" applyFill="1" applyAlignment="1">
      <alignment horizontal="left" vertical="center"/>
    </xf>
    <xf numFmtId="0" fontId="3" fillId="2" borderId="0" xfId="0" applyFont="1" applyFill="1"/>
    <xf numFmtId="0" fontId="4" fillId="3" borderId="0" xfId="0" applyFont="1" applyFill="1" applyAlignment="1">
      <alignment horizontal="center" vertical="center"/>
    </xf>
    <xf numFmtId="0" fontId="1" fillId="4" borderId="0" xfId="0" applyFont="1" applyFill="1" applyAlignment="1">
      <alignment horizontal="center" vertical="center"/>
    </xf>
    <xf numFmtId="1" fontId="0" fillId="0" borderId="0" xfId="0" applyNumberFormat="1" applyAlignment="1">
      <alignment horizontal="center" vertical="center"/>
    </xf>
    <xf numFmtId="0" fontId="0" fillId="0" borderId="0" xfId="0" applyAlignment="1">
      <alignment horizontal="center"/>
    </xf>
    <xf numFmtId="0" fontId="0" fillId="0" borderId="0" xfId="0" applyNumberFormat="1" applyAlignment="1">
      <alignment horizontal="center" vertical="center"/>
    </xf>
    <xf numFmtId="0" fontId="2" fillId="0" borderId="0" xfId="0" applyFont="1" applyAlignment="1">
      <alignment horizontal="center" vertical="center"/>
    </xf>
    <xf numFmtId="0" fontId="2" fillId="0" borderId="0" xfId="0" applyFont="1" applyFill="1" applyBorder="1" applyAlignment="1">
      <alignment horizontal="center" vertical="center" wrapText="1"/>
    </xf>
    <xf numFmtId="1" fontId="2" fillId="0" borderId="0" xfId="0" applyNumberFormat="1" applyFont="1"/>
    <xf numFmtId="0" fontId="8" fillId="0" borderId="0" xfId="0" applyFont="1" applyAlignment="1">
      <alignment horizontal="left" vertical="top"/>
    </xf>
    <xf numFmtId="0" fontId="8" fillId="0" borderId="0" xfId="0" applyFont="1" applyAlignment="1">
      <alignment horizontal="left" vertical="top" wrapText="1"/>
    </xf>
    <xf numFmtId="0" fontId="9" fillId="0" borderId="0" xfId="0" applyFont="1" applyAlignment="1">
      <alignment horizontal="center" vertical="center" textRotation="90" wrapText="1"/>
    </xf>
    <xf numFmtId="0" fontId="8" fillId="0" borderId="0" xfId="0" applyFont="1"/>
    <xf numFmtId="0" fontId="4" fillId="0" borderId="0" xfId="0" applyFont="1" applyAlignment="1">
      <alignment horizontal="center" vertical="center" textRotation="90" wrapText="1"/>
    </xf>
    <xf numFmtId="0" fontId="11" fillId="0" borderId="0" xfId="0" applyFont="1" applyAlignment="1">
      <alignment horizontal="center" vertical="center" textRotation="90" wrapText="1"/>
    </xf>
    <xf numFmtId="0" fontId="10" fillId="0" borderId="0" xfId="0" applyFont="1" applyAlignment="1">
      <alignment horizontal="left" vertical="top" wrapText="1"/>
    </xf>
    <xf numFmtId="0" fontId="0" fillId="0" borderId="0" xfId="0" applyAlignment="1">
      <alignment vertical="top"/>
    </xf>
    <xf numFmtId="49" fontId="13" fillId="0" borderId="0" xfId="0" applyNumberFormat="1" applyFont="1" applyAlignment="1">
      <alignment horizontal="right" vertical="top"/>
    </xf>
    <xf numFmtId="49" fontId="13" fillId="0" borderId="0" xfId="0" applyNumberFormat="1" applyFont="1" applyAlignment="1">
      <alignment horizontal="right" vertical="center"/>
    </xf>
    <xf numFmtId="0" fontId="13" fillId="0" borderId="0" xfId="0" applyFont="1" applyAlignment="1">
      <alignment vertical="top" wrapText="1"/>
    </xf>
    <xf numFmtId="0" fontId="13" fillId="0" borderId="0" xfId="0" applyFont="1"/>
    <xf numFmtId="0" fontId="0" fillId="0" borderId="2" xfId="0" applyBorder="1"/>
    <xf numFmtId="49" fontId="13" fillId="0" borderId="2" xfId="0" applyNumberFormat="1" applyFont="1" applyBorder="1" applyAlignment="1">
      <alignment horizontal="right" vertical="center"/>
    </xf>
    <xf numFmtId="0" fontId="13" fillId="0" borderId="2" xfId="0" applyFont="1" applyBorder="1"/>
    <xf numFmtId="49" fontId="13" fillId="0" borderId="2" xfId="0" applyNumberFormat="1" applyFont="1" applyBorder="1" applyAlignment="1">
      <alignment horizontal="right" vertical="top"/>
    </xf>
    <xf numFmtId="0" fontId="13" fillId="0" borderId="2" xfId="0" applyFont="1" applyBorder="1" applyAlignment="1">
      <alignment horizontal="left" vertical="top" wrapText="1"/>
    </xf>
    <xf numFmtId="0" fontId="0" fillId="0" borderId="2" xfId="0" applyBorder="1" applyAlignment="1">
      <alignment vertical="top"/>
    </xf>
    <xf numFmtId="49" fontId="13" fillId="0" borderId="4" xfId="0" applyNumberFormat="1" applyFont="1" applyBorder="1" applyAlignment="1">
      <alignment horizontal="right" vertical="top"/>
    </xf>
    <xf numFmtId="49" fontId="13" fillId="0" borderId="6" xfId="0" applyNumberFormat="1" applyFont="1" applyBorder="1" applyAlignment="1">
      <alignment horizontal="right" vertical="top"/>
    </xf>
    <xf numFmtId="0" fontId="13" fillId="0" borderId="6" xfId="0" applyFont="1" applyBorder="1" applyAlignment="1">
      <alignment horizontal="left" vertical="top" wrapText="1"/>
    </xf>
    <xf numFmtId="0" fontId="0" fillId="0" borderId="6" xfId="0" applyBorder="1" applyAlignment="1">
      <alignment vertical="top"/>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0" fillId="0" borderId="7" xfId="0" applyBorder="1" applyAlignment="1">
      <alignment vertical="top"/>
    </xf>
    <xf numFmtId="0" fontId="0" fillId="0" borderId="0" xfId="0" applyBorder="1" applyAlignment="1">
      <alignment vertical="top"/>
    </xf>
    <xf numFmtId="0" fontId="0" fillId="0" borderId="11" xfId="0" applyBorder="1"/>
    <xf numFmtId="0" fontId="0" fillId="0" borderId="3" xfId="0" applyBorder="1"/>
    <xf numFmtId="0" fontId="0" fillId="0" borderId="10" xfId="0" applyFill="1" applyBorder="1" applyAlignment="1">
      <alignment vertical="top"/>
    </xf>
    <xf numFmtId="0" fontId="13" fillId="0" borderId="16" xfId="0" applyFont="1" applyFill="1" applyBorder="1" applyAlignment="1">
      <alignment horizontal="left" vertical="top" wrapText="1"/>
    </xf>
    <xf numFmtId="0" fontId="4" fillId="2" borderId="18" xfId="0" applyFont="1" applyFill="1" applyBorder="1" applyAlignment="1">
      <alignment horizontal="center" vertical="center"/>
    </xf>
    <xf numFmtId="0" fontId="4" fillId="2" borderId="17" xfId="0" applyFont="1" applyFill="1" applyBorder="1" applyAlignment="1">
      <alignment horizontal="center" vertical="center"/>
    </xf>
    <xf numFmtId="0" fontId="0" fillId="0" borderId="17" xfId="0" applyFill="1" applyBorder="1" applyAlignment="1">
      <alignment vertical="top"/>
    </xf>
    <xf numFmtId="0" fontId="0" fillId="0" borderId="18" xfId="0" applyFill="1" applyBorder="1" applyAlignment="1">
      <alignment vertical="top"/>
    </xf>
    <xf numFmtId="0" fontId="0" fillId="0" borderId="5" xfId="0" applyFill="1" applyBorder="1" applyAlignment="1">
      <alignment vertical="top"/>
    </xf>
    <xf numFmtId="0" fontId="0" fillId="0" borderId="6" xfId="0" applyFill="1" applyBorder="1" applyAlignment="1">
      <alignment vertical="top"/>
    </xf>
    <xf numFmtId="0" fontId="13" fillId="0" borderId="1" xfId="0" applyFont="1" applyFill="1" applyBorder="1" applyAlignment="1">
      <alignment horizontal="left" vertical="top" wrapText="1"/>
    </xf>
    <xf numFmtId="0" fontId="0" fillId="0" borderId="0" xfId="0" applyFill="1" applyAlignment="1">
      <alignment vertical="top"/>
    </xf>
    <xf numFmtId="0" fontId="0" fillId="0" borderId="1" xfId="0" applyFill="1" applyBorder="1" applyAlignment="1">
      <alignment vertical="top"/>
    </xf>
    <xf numFmtId="0" fontId="13" fillId="0" borderId="5" xfId="0" applyFont="1" applyFill="1" applyBorder="1" applyAlignment="1">
      <alignment horizontal="left" vertical="top" wrapText="1"/>
    </xf>
    <xf numFmtId="0" fontId="13" fillId="0" borderId="0" xfId="0" applyFont="1" applyFill="1"/>
    <xf numFmtId="0" fontId="13" fillId="0" borderId="1" xfId="0" applyFont="1" applyFill="1" applyBorder="1"/>
    <xf numFmtId="0" fontId="8" fillId="0" borderId="3" xfId="0" applyFont="1" applyBorder="1" applyAlignment="1">
      <alignment horizontal="left" vertical="top" wrapText="1"/>
    </xf>
    <xf numFmtId="0" fontId="8" fillId="0" borderId="13" xfId="0" applyFont="1" applyBorder="1" applyAlignment="1">
      <alignment horizontal="left" vertical="top" wrapText="1"/>
    </xf>
    <xf numFmtId="0" fontId="8" fillId="0" borderId="14" xfId="0" applyFont="1" applyBorder="1" applyAlignment="1">
      <alignment horizontal="left" vertical="top" wrapText="1"/>
    </xf>
    <xf numFmtId="0" fontId="8" fillId="0" borderId="15" xfId="0" applyFont="1" applyBorder="1" applyAlignment="1">
      <alignment horizontal="left" vertical="top" wrapText="1"/>
    </xf>
    <xf numFmtId="0" fontId="18" fillId="0" borderId="1" xfId="0" applyFont="1" applyFill="1" applyBorder="1"/>
    <xf numFmtId="0" fontId="18" fillId="0" borderId="2" xfId="0" applyFont="1" applyFill="1" applyBorder="1" applyAlignment="1">
      <alignment horizontal="left" vertical="top" wrapText="1"/>
    </xf>
    <xf numFmtId="0" fontId="18" fillId="0" borderId="0" xfId="0" applyFont="1" applyFill="1" applyBorder="1" applyAlignment="1">
      <alignment horizontal="left" vertical="top" wrapText="1"/>
    </xf>
    <xf numFmtId="0" fontId="13" fillId="0" borderId="0" xfId="0" applyFont="1" applyFill="1" applyBorder="1"/>
    <xf numFmtId="0" fontId="4" fillId="0" borderId="13" xfId="0" applyFont="1" applyBorder="1" applyAlignment="1">
      <alignment horizontal="center" vertical="center"/>
    </xf>
    <xf numFmtId="0" fontId="1" fillId="0" borderId="0" xfId="0" applyFont="1" applyAlignment="1">
      <alignment horizontal="right"/>
    </xf>
    <xf numFmtId="0" fontId="4" fillId="4" borderId="0" xfId="0" applyFont="1" applyFill="1"/>
    <xf numFmtId="49" fontId="0" fillId="4" borderId="0" xfId="0" applyNumberFormat="1" applyFill="1"/>
    <xf numFmtId="49" fontId="19" fillId="4" borderId="0" xfId="1" applyNumberFormat="1" applyFill="1"/>
    <xf numFmtId="0" fontId="1" fillId="0" borderId="0" xfId="0" applyFont="1" applyAlignment="1">
      <alignment horizontal="center" vertical="center"/>
    </xf>
    <xf numFmtId="0" fontId="1" fillId="10" borderId="0" xfId="0" applyFont="1" applyFill="1" applyAlignment="1">
      <alignment horizontal="right" vertical="center"/>
    </xf>
    <xf numFmtId="0" fontId="13" fillId="5" borderId="6" xfId="0" applyFont="1" applyFill="1" applyBorder="1" applyAlignment="1">
      <alignment horizontal="left" vertical="top" wrapText="1"/>
    </xf>
    <xf numFmtId="0" fontId="13" fillId="5" borderId="0" xfId="0" applyFont="1" applyFill="1" applyAlignment="1">
      <alignment horizontal="left" vertical="top" wrapText="1"/>
    </xf>
    <xf numFmtId="0" fontId="4" fillId="11" borderId="0" xfId="0" applyFont="1" applyFill="1" applyAlignment="1">
      <alignment horizontal="center" vertical="center"/>
    </xf>
    <xf numFmtId="0" fontId="3" fillId="6" borderId="0" xfId="0" applyFont="1" applyFill="1" applyAlignment="1">
      <alignment horizontal="center" vertical="center"/>
    </xf>
    <xf numFmtId="0" fontId="8" fillId="4" borderId="0" xfId="0" applyFont="1" applyFill="1" applyAlignment="1">
      <alignment horizontal="center" vertical="center"/>
    </xf>
    <xf numFmtId="0" fontId="0" fillId="0" borderId="19" xfId="0" applyBorder="1"/>
    <xf numFmtId="0" fontId="11" fillId="0" borderId="20" xfId="0" applyFont="1" applyBorder="1" applyAlignment="1">
      <alignment horizontal="center" vertical="center" textRotation="90" wrapText="1"/>
    </xf>
    <xf numFmtId="0" fontId="8" fillId="0" borderId="20" xfId="0" applyFont="1" applyBorder="1" applyAlignment="1">
      <alignment horizontal="left" vertical="top" wrapText="1"/>
    </xf>
    <xf numFmtId="0" fontId="13" fillId="0" borderId="0" xfId="0" applyFont="1" applyAlignment="1">
      <alignment vertical="center"/>
    </xf>
    <xf numFmtId="0" fontId="13" fillId="0" borderId="20" xfId="0" applyFont="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vertical="center" wrapText="1"/>
    </xf>
    <xf numFmtId="0" fontId="3" fillId="0" borderId="0" xfId="0" applyFont="1" applyFill="1" applyAlignment="1">
      <alignment horizontal="center" vertical="center"/>
    </xf>
    <xf numFmtId="0" fontId="3" fillId="8" borderId="0" xfId="0" applyFont="1" applyFill="1" applyAlignment="1">
      <alignment horizontal="center" vertical="center"/>
    </xf>
    <xf numFmtId="0" fontId="13" fillId="0" borderId="0" xfId="0" applyFont="1" applyFill="1" applyAlignment="1">
      <alignment horizontal="left" vertical="center"/>
    </xf>
    <xf numFmtId="0" fontId="4" fillId="0" borderId="0" xfId="0" applyFont="1" applyFill="1" applyAlignment="1">
      <alignment horizontal="left" vertical="center"/>
    </xf>
    <xf numFmtId="0" fontId="0" fillId="0" borderId="0" xfId="0" applyAlignment="1">
      <alignment horizontal="center" vertical="center"/>
    </xf>
    <xf numFmtId="0" fontId="3" fillId="0" borderId="0" xfId="0" applyFont="1"/>
    <xf numFmtId="0" fontId="0" fillId="0" borderId="7" xfId="0" applyBorder="1"/>
    <xf numFmtId="0" fontId="8" fillId="0" borderId="7" xfId="0" applyFont="1" applyBorder="1"/>
    <xf numFmtId="0" fontId="8" fillId="0" borderId="21" xfId="0" applyFont="1" applyBorder="1"/>
    <xf numFmtId="0" fontId="8" fillId="0" borderId="22" xfId="0" applyFont="1" applyBorder="1"/>
    <xf numFmtId="0" fontId="8" fillId="0" borderId="2" xfId="0" applyFont="1" applyBorder="1"/>
    <xf numFmtId="0" fontId="8" fillId="0" borderId="6" xfId="0" applyFont="1" applyBorder="1"/>
    <xf numFmtId="0" fontId="4" fillId="9" borderId="0" xfId="0" applyFont="1" applyFill="1" applyAlignment="1">
      <alignment horizontal="center" vertical="center"/>
    </xf>
    <xf numFmtId="0" fontId="0" fillId="9" borderId="0" xfId="0" applyFill="1" applyAlignment="1">
      <alignment horizontal="center" vertical="center"/>
    </xf>
    <xf numFmtId="49" fontId="19" fillId="10" borderId="0" xfId="1" applyNumberFormat="1" applyFill="1" applyAlignment="1">
      <alignment horizontal="left" vertical="center"/>
    </xf>
    <xf numFmtId="49" fontId="9" fillId="10" borderId="0" xfId="0" applyNumberFormat="1" applyFont="1" applyFill="1" applyAlignment="1">
      <alignment horizontal="left" vertical="center"/>
    </xf>
    <xf numFmtId="0" fontId="4" fillId="6" borderId="0" xfId="0" applyFont="1" applyFill="1" applyAlignment="1">
      <alignment horizontal="left" vertical="top"/>
    </xf>
    <xf numFmtId="0" fontId="4" fillId="8" borderId="0" xfId="0" applyFont="1" applyFill="1" applyAlignment="1">
      <alignment horizontal="left" vertical="top" wrapText="1"/>
    </xf>
    <xf numFmtId="0" fontId="8" fillId="7" borderId="0" xfId="0" applyFont="1" applyFill="1" applyAlignment="1">
      <alignment horizontal="left" vertical="top" wrapText="1"/>
    </xf>
    <xf numFmtId="0" fontId="8" fillId="4" borderId="0" xfId="0" applyFont="1" applyFill="1" applyAlignment="1">
      <alignment horizontal="left" vertical="top" wrapText="1"/>
    </xf>
    <xf numFmtId="0" fontId="4" fillId="6" borderId="0" xfId="0" applyFont="1" applyFill="1" applyAlignment="1">
      <alignment horizontal="left" vertical="center"/>
    </xf>
    <xf numFmtId="0" fontId="9" fillId="6" borderId="0" xfId="0" applyFont="1" applyFill="1" applyAlignment="1">
      <alignment horizontal="left" vertical="center"/>
    </xf>
    <xf numFmtId="0" fontId="4" fillId="6" borderId="0" xfId="0" applyFont="1" applyFill="1" applyAlignment="1">
      <alignment horizontal="left" vertical="center" wrapText="1"/>
    </xf>
    <xf numFmtId="0" fontId="8" fillId="4" borderId="0" xfId="0" applyFont="1" applyFill="1" applyAlignment="1">
      <alignment horizontal="left" vertical="center" wrapText="1"/>
    </xf>
    <xf numFmtId="0" fontId="4" fillId="8" borderId="0" xfId="0" applyFont="1" applyFill="1" applyAlignment="1">
      <alignment horizontal="left" vertical="center"/>
    </xf>
    <xf numFmtId="0" fontId="1" fillId="4" borderId="0" xfId="0" applyFont="1" applyFill="1" applyAlignment="1">
      <alignment horizontal="center" vertical="center" textRotation="90"/>
    </xf>
    <xf numFmtId="49" fontId="1" fillId="4" borderId="0" xfId="0" applyNumberFormat="1" applyFont="1" applyFill="1" applyAlignment="1">
      <alignment horizontal="center" vertical="center" textRotation="90"/>
    </xf>
    <xf numFmtId="0" fontId="8" fillId="5" borderId="0" xfId="0" applyFont="1" applyFill="1" applyAlignment="1">
      <alignment horizontal="left" vertical="top" wrapText="1"/>
    </xf>
    <xf numFmtId="0" fontId="4" fillId="12" borderId="0" xfId="0" applyFont="1" applyFill="1" applyAlignment="1">
      <alignment horizontal="left" vertical="center" wrapText="1"/>
    </xf>
    <xf numFmtId="0" fontId="8" fillId="12" borderId="0" xfId="0" applyFont="1" applyFill="1" applyAlignment="1">
      <alignment horizontal="left" vertical="center" wrapText="1"/>
    </xf>
    <xf numFmtId="0" fontId="0" fillId="2" borderId="0" xfId="0" applyFill="1" applyAlignment="1">
      <alignment horizontal="left" vertical="top" wrapText="1"/>
    </xf>
    <xf numFmtId="0" fontId="3" fillId="8" borderId="0" xfId="0" applyFont="1" applyFill="1" applyAlignment="1">
      <alignment horizontal="center" vertical="center"/>
    </xf>
    <xf numFmtId="0" fontId="13" fillId="6" borderId="0" xfId="0" applyFont="1" applyFill="1" applyAlignment="1">
      <alignment horizontal="left" vertical="center"/>
    </xf>
    <xf numFmtId="0" fontId="3" fillId="6" borderId="0" xfId="0" applyFont="1" applyFill="1" applyAlignment="1">
      <alignment horizontal="center" vertical="center"/>
    </xf>
    <xf numFmtId="0" fontId="15" fillId="2" borderId="0" xfId="0" applyFont="1" applyFill="1" applyBorder="1" applyAlignment="1">
      <alignment horizontal="center" vertical="center" wrapText="1"/>
    </xf>
    <xf numFmtId="0" fontId="16" fillId="2" borderId="0" xfId="0" applyFont="1" applyFill="1" applyBorder="1" applyAlignment="1">
      <alignment horizontal="center" vertical="center" wrapText="1"/>
    </xf>
    <xf numFmtId="0" fontId="16" fillId="2" borderId="2" xfId="0" applyFont="1" applyFill="1" applyBorder="1" applyAlignment="1">
      <alignment horizontal="center" vertical="center" wrapText="1"/>
    </xf>
    <xf numFmtId="0" fontId="15" fillId="2" borderId="10" xfId="0" applyFont="1" applyFill="1" applyBorder="1" applyAlignment="1">
      <alignment horizontal="center" vertical="center" wrapText="1"/>
    </xf>
    <xf numFmtId="0" fontId="16" fillId="2" borderId="8" xfId="0" applyFont="1" applyFill="1" applyBorder="1" applyAlignment="1">
      <alignment horizontal="center" vertical="center" wrapText="1"/>
    </xf>
    <xf numFmtId="0" fontId="16" fillId="2" borderId="11" xfId="0" applyFont="1" applyFill="1" applyBorder="1" applyAlignment="1">
      <alignment horizontal="center" vertical="center" wrapText="1"/>
    </xf>
    <xf numFmtId="0" fontId="16" fillId="2" borderId="1" xfId="0" applyFont="1" applyFill="1" applyBorder="1" applyAlignment="1">
      <alignment horizontal="center" vertical="center" wrapText="1"/>
    </xf>
    <xf numFmtId="0" fontId="16" fillId="2" borderId="12" xfId="0" applyFont="1" applyFill="1" applyBorder="1" applyAlignment="1">
      <alignment horizontal="center" vertical="center" wrapText="1"/>
    </xf>
    <xf numFmtId="0" fontId="16" fillId="2" borderId="9" xfId="0" applyFont="1" applyFill="1" applyBorder="1" applyAlignment="1">
      <alignment horizontal="center" vertical="center" wrapText="1"/>
    </xf>
    <xf numFmtId="0" fontId="13" fillId="2" borderId="0" xfId="0" applyFont="1" applyFill="1" applyAlignment="1">
      <alignment horizontal="left" vertical="top" wrapText="1"/>
    </xf>
    <xf numFmtId="0" fontId="3" fillId="0" borderId="0" xfId="0" applyFont="1" applyBorder="1" applyAlignment="1">
      <alignment horizontal="center" vertical="center" textRotation="90"/>
    </xf>
    <xf numFmtId="0" fontId="3" fillId="0" borderId="20" xfId="0" applyFont="1" applyBorder="1" applyAlignment="1">
      <alignment horizontal="center" vertical="center" textRotation="90"/>
    </xf>
    <xf numFmtId="0" fontId="11" fillId="0" borderId="0" xfId="0" applyFont="1" applyBorder="1" applyAlignment="1">
      <alignment horizontal="center" vertical="center" textRotation="90"/>
    </xf>
    <xf numFmtId="0" fontId="11" fillId="0" borderId="21" xfId="0" applyFont="1" applyBorder="1" applyAlignment="1">
      <alignment horizontal="center" vertical="center" textRotation="90"/>
    </xf>
    <xf numFmtId="0" fontId="11" fillId="0" borderId="2" xfId="0" applyFont="1" applyBorder="1" applyAlignment="1">
      <alignment horizontal="center" vertical="center" textRotation="90"/>
    </xf>
    <xf numFmtId="0" fontId="11" fillId="0" borderId="7" xfId="0" applyFont="1" applyBorder="1" applyAlignment="1">
      <alignment horizontal="center" vertical="center" textRotation="90"/>
    </xf>
    <xf numFmtId="0" fontId="15" fillId="2" borderId="0" xfId="0" applyFont="1" applyFill="1" applyAlignment="1">
      <alignment horizontal="center" vertical="center"/>
    </xf>
  </cellXfs>
  <cellStyles count="2">
    <cellStyle name="Hyperlink" xfId="1" builtinId="8"/>
    <cellStyle name="Normal" xfId="0" builtinId="0"/>
  </cellStyles>
  <dxfs count="1">
    <dxf>
      <fill>
        <patternFill>
          <bgColor theme="3" tint="0.39994506668294322"/>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6" Type="http://schemas.openxmlformats.org/officeDocument/2006/relationships/image" Target="../media/image93.emf"/><Relationship Id="rId21" Type="http://schemas.openxmlformats.org/officeDocument/2006/relationships/image" Target="../media/image98.emf"/><Relationship Id="rId42" Type="http://schemas.openxmlformats.org/officeDocument/2006/relationships/image" Target="../media/image77.emf"/><Relationship Id="rId47" Type="http://schemas.openxmlformats.org/officeDocument/2006/relationships/image" Target="../media/image72.emf"/><Relationship Id="rId63" Type="http://schemas.openxmlformats.org/officeDocument/2006/relationships/image" Target="../media/image56.emf"/><Relationship Id="rId68" Type="http://schemas.openxmlformats.org/officeDocument/2006/relationships/image" Target="../media/image51.emf"/><Relationship Id="rId84" Type="http://schemas.openxmlformats.org/officeDocument/2006/relationships/image" Target="../media/image35.emf"/><Relationship Id="rId89" Type="http://schemas.openxmlformats.org/officeDocument/2006/relationships/image" Target="../media/image30.emf"/><Relationship Id="rId2" Type="http://schemas.openxmlformats.org/officeDocument/2006/relationships/image" Target="../media/image112.emf"/><Relationship Id="rId16" Type="http://schemas.openxmlformats.org/officeDocument/2006/relationships/image" Target="../media/image103.emf"/><Relationship Id="rId29" Type="http://schemas.openxmlformats.org/officeDocument/2006/relationships/image" Target="../media/image90.emf"/><Relationship Id="rId107" Type="http://schemas.openxmlformats.org/officeDocument/2006/relationships/image" Target="../media/image12.emf"/><Relationship Id="rId11" Type="http://schemas.openxmlformats.org/officeDocument/2006/relationships/image" Target="../media/image108.emf"/><Relationship Id="rId24" Type="http://schemas.openxmlformats.org/officeDocument/2006/relationships/image" Target="../media/image95.emf"/><Relationship Id="rId32" Type="http://schemas.openxmlformats.org/officeDocument/2006/relationships/image" Target="../media/image87.emf"/><Relationship Id="rId37" Type="http://schemas.openxmlformats.org/officeDocument/2006/relationships/image" Target="../media/image82.emf"/><Relationship Id="rId40" Type="http://schemas.openxmlformats.org/officeDocument/2006/relationships/image" Target="../media/image79.emf"/><Relationship Id="rId45" Type="http://schemas.openxmlformats.org/officeDocument/2006/relationships/image" Target="../media/image74.emf"/><Relationship Id="rId53" Type="http://schemas.openxmlformats.org/officeDocument/2006/relationships/image" Target="../media/image66.emf"/><Relationship Id="rId58" Type="http://schemas.openxmlformats.org/officeDocument/2006/relationships/image" Target="../media/image61.emf"/><Relationship Id="rId66" Type="http://schemas.openxmlformats.org/officeDocument/2006/relationships/image" Target="../media/image53.emf"/><Relationship Id="rId74" Type="http://schemas.openxmlformats.org/officeDocument/2006/relationships/image" Target="../media/image45.emf"/><Relationship Id="rId79" Type="http://schemas.openxmlformats.org/officeDocument/2006/relationships/image" Target="../media/image40.emf"/><Relationship Id="rId87" Type="http://schemas.openxmlformats.org/officeDocument/2006/relationships/image" Target="../media/image32.emf"/><Relationship Id="rId102" Type="http://schemas.openxmlformats.org/officeDocument/2006/relationships/image" Target="../media/image17.emf"/><Relationship Id="rId110" Type="http://schemas.openxmlformats.org/officeDocument/2006/relationships/image" Target="../media/image9.emf"/><Relationship Id="rId5" Type="http://schemas.openxmlformats.org/officeDocument/2006/relationships/image" Target="../media/image115.emf"/><Relationship Id="rId61" Type="http://schemas.openxmlformats.org/officeDocument/2006/relationships/image" Target="../media/image58.emf"/><Relationship Id="rId82" Type="http://schemas.openxmlformats.org/officeDocument/2006/relationships/image" Target="../media/image37.emf"/><Relationship Id="rId90" Type="http://schemas.openxmlformats.org/officeDocument/2006/relationships/image" Target="../media/image29.emf"/><Relationship Id="rId95" Type="http://schemas.openxmlformats.org/officeDocument/2006/relationships/image" Target="../media/image24.emf"/><Relationship Id="rId19" Type="http://schemas.openxmlformats.org/officeDocument/2006/relationships/image" Target="../media/image100.emf"/><Relationship Id="rId14" Type="http://schemas.openxmlformats.org/officeDocument/2006/relationships/image" Target="../media/image105.emf"/><Relationship Id="rId22" Type="http://schemas.openxmlformats.org/officeDocument/2006/relationships/image" Target="../media/image97.emf"/><Relationship Id="rId27" Type="http://schemas.openxmlformats.org/officeDocument/2006/relationships/image" Target="../media/image92.emf"/><Relationship Id="rId30" Type="http://schemas.openxmlformats.org/officeDocument/2006/relationships/image" Target="../media/image89.emf"/><Relationship Id="rId35" Type="http://schemas.openxmlformats.org/officeDocument/2006/relationships/image" Target="../media/image84.emf"/><Relationship Id="rId43" Type="http://schemas.openxmlformats.org/officeDocument/2006/relationships/image" Target="../media/image76.emf"/><Relationship Id="rId48" Type="http://schemas.openxmlformats.org/officeDocument/2006/relationships/image" Target="../media/image71.emf"/><Relationship Id="rId56" Type="http://schemas.openxmlformats.org/officeDocument/2006/relationships/image" Target="../media/image63.emf"/><Relationship Id="rId64" Type="http://schemas.openxmlformats.org/officeDocument/2006/relationships/image" Target="../media/image55.emf"/><Relationship Id="rId69" Type="http://schemas.openxmlformats.org/officeDocument/2006/relationships/image" Target="../media/image50.emf"/><Relationship Id="rId77" Type="http://schemas.openxmlformats.org/officeDocument/2006/relationships/image" Target="../media/image42.emf"/><Relationship Id="rId100" Type="http://schemas.openxmlformats.org/officeDocument/2006/relationships/image" Target="../media/image19.emf"/><Relationship Id="rId105" Type="http://schemas.openxmlformats.org/officeDocument/2006/relationships/image" Target="../media/image14.emf"/><Relationship Id="rId8" Type="http://schemas.openxmlformats.org/officeDocument/2006/relationships/image" Target="../media/image118.emf"/><Relationship Id="rId51" Type="http://schemas.openxmlformats.org/officeDocument/2006/relationships/image" Target="../media/image68.emf"/><Relationship Id="rId72" Type="http://schemas.openxmlformats.org/officeDocument/2006/relationships/image" Target="../media/image47.emf"/><Relationship Id="rId80" Type="http://schemas.openxmlformats.org/officeDocument/2006/relationships/image" Target="../media/image39.emf"/><Relationship Id="rId85" Type="http://schemas.openxmlformats.org/officeDocument/2006/relationships/image" Target="../media/image34.emf"/><Relationship Id="rId93" Type="http://schemas.openxmlformats.org/officeDocument/2006/relationships/image" Target="../media/image26.emf"/><Relationship Id="rId98" Type="http://schemas.openxmlformats.org/officeDocument/2006/relationships/image" Target="../media/image21.emf"/><Relationship Id="rId3" Type="http://schemas.openxmlformats.org/officeDocument/2006/relationships/image" Target="../media/image113.emf"/><Relationship Id="rId12" Type="http://schemas.openxmlformats.org/officeDocument/2006/relationships/image" Target="../media/image107.emf"/><Relationship Id="rId17" Type="http://schemas.openxmlformats.org/officeDocument/2006/relationships/image" Target="../media/image102.emf"/><Relationship Id="rId25" Type="http://schemas.openxmlformats.org/officeDocument/2006/relationships/image" Target="../media/image94.emf"/><Relationship Id="rId33" Type="http://schemas.openxmlformats.org/officeDocument/2006/relationships/image" Target="../media/image86.emf"/><Relationship Id="rId38" Type="http://schemas.openxmlformats.org/officeDocument/2006/relationships/image" Target="../media/image81.emf"/><Relationship Id="rId46" Type="http://schemas.openxmlformats.org/officeDocument/2006/relationships/image" Target="../media/image73.emf"/><Relationship Id="rId59" Type="http://schemas.openxmlformats.org/officeDocument/2006/relationships/image" Target="../media/image60.emf"/><Relationship Id="rId67" Type="http://schemas.openxmlformats.org/officeDocument/2006/relationships/image" Target="../media/image52.emf"/><Relationship Id="rId103" Type="http://schemas.openxmlformats.org/officeDocument/2006/relationships/image" Target="../media/image16.emf"/><Relationship Id="rId108" Type="http://schemas.openxmlformats.org/officeDocument/2006/relationships/image" Target="../media/image11.emf"/><Relationship Id="rId20" Type="http://schemas.openxmlformats.org/officeDocument/2006/relationships/image" Target="../media/image99.emf"/><Relationship Id="rId41" Type="http://schemas.openxmlformats.org/officeDocument/2006/relationships/image" Target="../media/image78.emf"/><Relationship Id="rId54" Type="http://schemas.openxmlformats.org/officeDocument/2006/relationships/image" Target="../media/image65.emf"/><Relationship Id="rId62" Type="http://schemas.openxmlformats.org/officeDocument/2006/relationships/image" Target="../media/image57.emf"/><Relationship Id="rId70" Type="http://schemas.openxmlformats.org/officeDocument/2006/relationships/image" Target="../media/image49.emf"/><Relationship Id="rId75" Type="http://schemas.openxmlformats.org/officeDocument/2006/relationships/image" Target="../media/image44.emf"/><Relationship Id="rId83" Type="http://schemas.openxmlformats.org/officeDocument/2006/relationships/image" Target="../media/image36.emf"/><Relationship Id="rId88" Type="http://schemas.openxmlformats.org/officeDocument/2006/relationships/image" Target="../media/image31.emf"/><Relationship Id="rId91" Type="http://schemas.openxmlformats.org/officeDocument/2006/relationships/image" Target="../media/image28.emf"/><Relationship Id="rId96" Type="http://schemas.openxmlformats.org/officeDocument/2006/relationships/image" Target="../media/image23.emf"/><Relationship Id="rId1" Type="http://schemas.openxmlformats.org/officeDocument/2006/relationships/image" Target="../media/image111.emf"/><Relationship Id="rId6" Type="http://schemas.openxmlformats.org/officeDocument/2006/relationships/image" Target="../media/image116.emf"/><Relationship Id="rId15" Type="http://schemas.openxmlformats.org/officeDocument/2006/relationships/image" Target="../media/image104.emf"/><Relationship Id="rId23" Type="http://schemas.openxmlformats.org/officeDocument/2006/relationships/image" Target="../media/image96.emf"/><Relationship Id="rId28" Type="http://schemas.openxmlformats.org/officeDocument/2006/relationships/image" Target="../media/image91.emf"/><Relationship Id="rId36" Type="http://schemas.openxmlformats.org/officeDocument/2006/relationships/image" Target="../media/image83.emf"/><Relationship Id="rId49" Type="http://schemas.openxmlformats.org/officeDocument/2006/relationships/image" Target="../media/image70.emf"/><Relationship Id="rId57" Type="http://schemas.openxmlformats.org/officeDocument/2006/relationships/image" Target="../media/image62.emf"/><Relationship Id="rId106" Type="http://schemas.openxmlformats.org/officeDocument/2006/relationships/image" Target="../media/image13.emf"/><Relationship Id="rId10" Type="http://schemas.openxmlformats.org/officeDocument/2006/relationships/image" Target="../media/image109.emf"/><Relationship Id="rId31" Type="http://schemas.openxmlformats.org/officeDocument/2006/relationships/image" Target="../media/image88.emf"/><Relationship Id="rId44" Type="http://schemas.openxmlformats.org/officeDocument/2006/relationships/image" Target="../media/image75.emf"/><Relationship Id="rId52" Type="http://schemas.openxmlformats.org/officeDocument/2006/relationships/image" Target="../media/image67.emf"/><Relationship Id="rId60" Type="http://schemas.openxmlformats.org/officeDocument/2006/relationships/image" Target="../media/image59.emf"/><Relationship Id="rId65" Type="http://schemas.openxmlformats.org/officeDocument/2006/relationships/image" Target="../media/image54.emf"/><Relationship Id="rId73" Type="http://schemas.openxmlformats.org/officeDocument/2006/relationships/image" Target="../media/image46.emf"/><Relationship Id="rId78" Type="http://schemas.openxmlformats.org/officeDocument/2006/relationships/image" Target="../media/image41.emf"/><Relationship Id="rId81" Type="http://schemas.openxmlformats.org/officeDocument/2006/relationships/image" Target="../media/image38.emf"/><Relationship Id="rId86" Type="http://schemas.openxmlformats.org/officeDocument/2006/relationships/image" Target="../media/image33.emf"/><Relationship Id="rId94" Type="http://schemas.openxmlformats.org/officeDocument/2006/relationships/image" Target="../media/image25.emf"/><Relationship Id="rId99" Type="http://schemas.openxmlformats.org/officeDocument/2006/relationships/image" Target="../media/image20.emf"/><Relationship Id="rId101" Type="http://schemas.openxmlformats.org/officeDocument/2006/relationships/image" Target="../media/image18.emf"/><Relationship Id="rId4" Type="http://schemas.openxmlformats.org/officeDocument/2006/relationships/image" Target="../media/image114.emf"/><Relationship Id="rId9" Type="http://schemas.openxmlformats.org/officeDocument/2006/relationships/image" Target="../media/image110.emf"/><Relationship Id="rId13" Type="http://schemas.openxmlformats.org/officeDocument/2006/relationships/image" Target="../media/image106.emf"/><Relationship Id="rId18" Type="http://schemas.openxmlformats.org/officeDocument/2006/relationships/image" Target="../media/image101.emf"/><Relationship Id="rId39" Type="http://schemas.openxmlformats.org/officeDocument/2006/relationships/image" Target="../media/image80.emf"/><Relationship Id="rId109" Type="http://schemas.openxmlformats.org/officeDocument/2006/relationships/image" Target="../media/image10.emf"/><Relationship Id="rId34" Type="http://schemas.openxmlformats.org/officeDocument/2006/relationships/image" Target="../media/image85.emf"/><Relationship Id="rId50" Type="http://schemas.openxmlformats.org/officeDocument/2006/relationships/image" Target="../media/image69.emf"/><Relationship Id="rId55" Type="http://schemas.openxmlformats.org/officeDocument/2006/relationships/image" Target="../media/image64.emf"/><Relationship Id="rId76" Type="http://schemas.openxmlformats.org/officeDocument/2006/relationships/image" Target="../media/image43.emf"/><Relationship Id="rId97" Type="http://schemas.openxmlformats.org/officeDocument/2006/relationships/image" Target="../media/image22.emf"/><Relationship Id="rId104" Type="http://schemas.openxmlformats.org/officeDocument/2006/relationships/image" Target="../media/image15.emf"/><Relationship Id="rId7" Type="http://schemas.openxmlformats.org/officeDocument/2006/relationships/image" Target="../media/image117.emf"/><Relationship Id="rId71" Type="http://schemas.openxmlformats.org/officeDocument/2006/relationships/image" Target="../media/image48.emf"/><Relationship Id="rId9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5</xdr:col>
      <xdr:colOff>495300</xdr:colOff>
      <xdr:row>3</xdr:row>
      <xdr:rowOff>47625</xdr:rowOff>
    </xdr:from>
    <xdr:to>
      <xdr:col>6</xdr:col>
      <xdr:colOff>1238250</xdr:colOff>
      <xdr:row>7</xdr:row>
      <xdr:rowOff>360150</xdr:rowOff>
    </xdr:to>
    <xdr:pic>
      <xdr:nvPicPr>
        <xdr:cNvPr id="31" name="Picture 30"/>
        <xdr:cNvPicPr>
          <a:picLocks noChangeAspect="1"/>
        </xdr:cNvPicPr>
      </xdr:nvPicPr>
      <xdr:blipFill>
        <a:blip xmlns:r="http://schemas.openxmlformats.org/officeDocument/2006/relationships" r:embed="rId1"/>
        <a:stretch>
          <a:fillRect/>
        </a:stretch>
      </xdr:blipFill>
      <xdr:spPr>
        <a:xfrm>
          <a:off x="9515475" y="971550"/>
          <a:ext cx="2457450" cy="17984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238125</xdr:colOff>
          <xdr:row>2</xdr:row>
          <xdr:rowOff>9525</xdr:rowOff>
        </xdr:from>
        <xdr:to>
          <xdr:col>4</xdr:col>
          <xdr:colOff>1504950</xdr:colOff>
          <xdr:row>3</xdr:row>
          <xdr:rowOff>9525</xdr:rowOff>
        </xdr:to>
        <xdr:sp macro="" textlink="">
          <xdr:nvSpPr>
            <xdr:cNvPr id="1025" name="CDco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xdr:row>
          <xdr:rowOff>9525</xdr:rowOff>
        </xdr:from>
        <xdr:to>
          <xdr:col>5</xdr:col>
          <xdr:colOff>1533525</xdr:colOff>
          <xdr:row>3</xdr:row>
          <xdr:rowOff>9525</xdr:rowOff>
        </xdr:to>
        <xdr:sp macro="" textlink="">
          <xdr:nvSpPr>
            <xdr:cNvPr id="1026" name="CBcol"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xdr:row>
          <xdr:rowOff>9525</xdr:rowOff>
        </xdr:from>
        <xdr:to>
          <xdr:col>6</xdr:col>
          <xdr:colOff>1495425</xdr:colOff>
          <xdr:row>3</xdr:row>
          <xdr:rowOff>9525</xdr:rowOff>
        </xdr:to>
        <xdr:sp macro="" textlink="">
          <xdr:nvSpPr>
            <xdr:cNvPr id="1028" name="CBcom"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228600</xdr:colOff>
          <xdr:row>2</xdr:row>
          <xdr:rowOff>9525</xdr:rowOff>
        </xdr:from>
        <xdr:to>
          <xdr:col>7</xdr:col>
          <xdr:colOff>1495425</xdr:colOff>
          <xdr:row>3</xdr:row>
          <xdr:rowOff>9525</xdr:rowOff>
        </xdr:to>
        <xdr:sp macro="" textlink="">
          <xdr:nvSpPr>
            <xdr:cNvPr id="1030" name="CBcha"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0</xdr:rowOff>
        </xdr:from>
        <xdr:to>
          <xdr:col>8</xdr:col>
          <xdr:colOff>1323975</xdr:colOff>
          <xdr:row>3</xdr:row>
          <xdr:rowOff>0</xdr:rowOff>
        </xdr:to>
        <xdr:sp macro="" textlink="">
          <xdr:nvSpPr>
            <xdr:cNvPr id="1032" name="CBclear"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247650</xdr:rowOff>
        </xdr:from>
        <xdr:to>
          <xdr:col>1</xdr:col>
          <xdr:colOff>542925</xdr:colOff>
          <xdr:row>3</xdr:row>
          <xdr:rowOff>333375</xdr:rowOff>
        </xdr:to>
        <xdr:sp macro="" textlink="">
          <xdr:nvSpPr>
            <xdr:cNvPr id="1033" name="CBreset"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xdr:row>
          <xdr:rowOff>57150</xdr:rowOff>
        </xdr:from>
        <xdr:to>
          <xdr:col>8</xdr:col>
          <xdr:colOff>1314450</xdr:colOff>
          <xdr:row>4</xdr:row>
          <xdr:rowOff>333375</xdr:rowOff>
        </xdr:to>
        <xdr:sp macro="" textlink="">
          <xdr:nvSpPr>
            <xdr:cNvPr id="1034" name="CB_TP_send"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8</xdr:row>
          <xdr:rowOff>47625</xdr:rowOff>
        </xdr:from>
        <xdr:to>
          <xdr:col>3</xdr:col>
          <xdr:colOff>561975</xdr:colOff>
          <xdr:row>8</xdr:row>
          <xdr:rowOff>838200</xdr:rowOff>
        </xdr:to>
        <xdr:sp macro="" textlink="">
          <xdr:nvSpPr>
            <xdr:cNvPr id="3074" name="OB01q01"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8</xdr:row>
          <xdr:rowOff>47625</xdr:rowOff>
        </xdr:from>
        <xdr:to>
          <xdr:col>4</xdr:col>
          <xdr:colOff>561975</xdr:colOff>
          <xdr:row>8</xdr:row>
          <xdr:rowOff>838200</xdr:rowOff>
        </xdr:to>
        <xdr:sp macro="" textlink="">
          <xdr:nvSpPr>
            <xdr:cNvPr id="3075" name="OB01q02"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8</xdr:row>
          <xdr:rowOff>47625</xdr:rowOff>
        </xdr:from>
        <xdr:to>
          <xdr:col>5</xdr:col>
          <xdr:colOff>571500</xdr:colOff>
          <xdr:row>8</xdr:row>
          <xdr:rowOff>838200</xdr:rowOff>
        </xdr:to>
        <xdr:sp macro="" textlink="">
          <xdr:nvSpPr>
            <xdr:cNvPr id="3076" name="OB01q03" hidden="1">
              <a:extLst>
                <a:ext uri="{63B3BB69-23CF-44E3-9099-C40C66FF867C}">
                  <a14:compatExt spid="_x0000_s3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xdr:row>
          <xdr:rowOff>47625</xdr:rowOff>
        </xdr:from>
        <xdr:to>
          <xdr:col>6</xdr:col>
          <xdr:colOff>561975</xdr:colOff>
          <xdr:row>8</xdr:row>
          <xdr:rowOff>838200</xdr:rowOff>
        </xdr:to>
        <xdr:sp macro="" textlink="">
          <xdr:nvSpPr>
            <xdr:cNvPr id="3077" name="OB01q04"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47625</xdr:rowOff>
        </xdr:from>
        <xdr:to>
          <xdr:col>7</xdr:col>
          <xdr:colOff>561975</xdr:colOff>
          <xdr:row>8</xdr:row>
          <xdr:rowOff>838200</xdr:rowOff>
        </xdr:to>
        <xdr:sp macro="" textlink="">
          <xdr:nvSpPr>
            <xdr:cNvPr id="3078" name="OB01q05"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8</xdr:row>
          <xdr:rowOff>47625</xdr:rowOff>
        </xdr:from>
        <xdr:to>
          <xdr:col>8</xdr:col>
          <xdr:colOff>561975</xdr:colOff>
          <xdr:row>8</xdr:row>
          <xdr:rowOff>838200</xdr:rowOff>
        </xdr:to>
        <xdr:sp macro="" textlink="">
          <xdr:nvSpPr>
            <xdr:cNvPr id="3079" name="OB01q06" hidden="1">
              <a:extLst>
                <a:ext uri="{63B3BB69-23CF-44E3-9099-C40C66FF867C}">
                  <a14:compatExt spid="_x0000_s3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8</xdr:row>
          <xdr:rowOff>47625</xdr:rowOff>
        </xdr:from>
        <xdr:to>
          <xdr:col>9</xdr:col>
          <xdr:colOff>561975</xdr:colOff>
          <xdr:row>8</xdr:row>
          <xdr:rowOff>838200</xdr:rowOff>
        </xdr:to>
        <xdr:sp macro="" textlink="">
          <xdr:nvSpPr>
            <xdr:cNvPr id="3080" name="OB01q07"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8</xdr:row>
          <xdr:rowOff>47625</xdr:rowOff>
        </xdr:from>
        <xdr:to>
          <xdr:col>10</xdr:col>
          <xdr:colOff>561975</xdr:colOff>
          <xdr:row>8</xdr:row>
          <xdr:rowOff>838200</xdr:rowOff>
        </xdr:to>
        <xdr:sp macro="" textlink="">
          <xdr:nvSpPr>
            <xdr:cNvPr id="3081" name="OB01q08"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8</xdr:row>
          <xdr:rowOff>47625</xdr:rowOff>
        </xdr:from>
        <xdr:to>
          <xdr:col>2</xdr:col>
          <xdr:colOff>238125</xdr:colOff>
          <xdr:row>8</xdr:row>
          <xdr:rowOff>838200</xdr:rowOff>
        </xdr:to>
        <xdr:sp macro="" textlink="">
          <xdr:nvSpPr>
            <xdr:cNvPr id="3082" name="OB01"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10</xdr:row>
          <xdr:rowOff>47625</xdr:rowOff>
        </xdr:from>
        <xdr:to>
          <xdr:col>3</xdr:col>
          <xdr:colOff>561975</xdr:colOff>
          <xdr:row>10</xdr:row>
          <xdr:rowOff>838200</xdr:rowOff>
        </xdr:to>
        <xdr:sp macro="" textlink="">
          <xdr:nvSpPr>
            <xdr:cNvPr id="3092" name="OB02q01" hidden="1">
              <a:extLst>
                <a:ext uri="{63B3BB69-23CF-44E3-9099-C40C66FF867C}">
                  <a14:compatExt spid="_x0000_s3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10</xdr:row>
          <xdr:rowOff>47625</xdr:rowOff>
        </xdr:from>
        <xdr:to>
          <xdr:col>4</xdr:col>
          <xdr:colOff>561975</xdr:colOff>
          <xdr:row>10</xdr:row>
          <xdr:rowOff>838200</xdr:rowOff>
        </xdr:to>
        <xdr:sp macro="" textlink="">
          <xdr:nvSpPr>
            <xdr:cNvPr id="3093" name="OB02q02" hidden="1">
              <a:extLst>
                <a:ext uri="{63B3BB69-23CF-44E3-9099-C40C66FF867C}">
                  <a14:compatExt spid="_x0000_s3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561975</xdr:colOff>
          <xdr:row>10</xdr:row>
          <xdr:rowOff>838200</xdr:rowOff>
        </xdr:to>
        <xdr:sp macro="" textlink="">
          <xdr:nvSpPr>
            <xdr:cNvPr id="3094" name="OB02q03" hidden="1">
              <a:extLst>
                <a:ext uri="{63B3BB69-23CF-44E3-9099-C40C66FF867C}">
                  <a14:compatExt spid="_x0000_s3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10</xdr:row>
          <xdr:rowOff>47625</xdr:rowOff>
        </xdr:from>
        <xdr:to>
          <xdr:col>6</xdr:col>
          <xdr:colOff>561975</xdr:colOff>
          <xdr:row>10</xdr:row>
          <xdr:rowOff>838200</xdr:rowOff>
        </xdr:to>
        <xdr:sp macro="" textlink="">
          <xdr:nvSpPr>
            <xdr:cNvPr id="3095" name="OB02q04" hidden="1">
              <a:extLst>
                <a:ext uri="{63B3BB69-23CF-44E3-9099-C40C66FF867C}">
                  <a14:compatExt spid="_x0000_s3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10</xdr:row>
          <xdr:rowOff>47625</xdr:rowOff>
        </xdr:from>
        <xdr:to>
          <xdr:col>7</xdr:col>
          <xdr:colOff>561975</xdr:colOff>
          <xdr:row>10</xdr:row>
          <xdr:rowOff>838200</xdr:rowOff>
        </xdr:to>
        <xdr:sp macro="" textlink="">
          <xdr:nvSpPr>
            <xdr:cNvPr id="3096" name="OB02q05" hidden="1">
              <a:extLst>
                <a:ext uri="{63B3BB69-23CF-44E3-9099-C40C66FF867C}">
                  <a14:compatExt spid="_x0000_s3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10</xdr:row>
          <xdr:rowOff>47625</xdr:rowOff>
        </xdr:from>
        <xdr:to>
          <xdr:col>8</xdr:col>
          <xdr:colOff>561975</xdr:colOff>
          <xdr:row>10</xdr:row>
          <xdr:rowOff>838200</xdr:rowOff>
        </xdr:to>
        <xdr:sp macro="" textlink="">
          <xdr:nvSpPr>
            <xdr:cNvPr id="3097" name="OB02q06" hidden="1">
              <a:extLst>
                <a:ext uri="{63B3BB69-23CF-44E3-9099-C40C66FF867C}">
                  <a14:compatExt spid="_x0000_s3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10</xdr:row>
          <xdr:rowOff>47625</xdr:rowOff>
        </xdr:from>
        <xdr:to>
          <xdr:col>9</xdr:col>
          <xdr:colOff>561975</xdr:colOff>
          <xdr:row>10</xdr:row>
          <xdr:rowOff>838200</xdr:rowOff>
        </xdr:to>
        <xdr:sp macro="" textlink="">
          <xdr:nvSpPr>
            <xdr:cNvPr id="3098" name="OB02q07" hidden="1">
              <a:extLst>
                <a:ext uri="{63B3BB69-23CF-44E3-9099-C40C66FF867C}">
                  <a14:compatExt spid="_x0000_s3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10</xdr:row>
          <xdr:rowOff>47625</xdr:rowOff>
        </xdr:from>
        <xdr:to>
          <xdr:col>10</xdr:col>
          <xdr:colOff>561975</xdr:colOff>
          <xdr:row>10</xdr:row>
          <xdr:rowOff>838200</xdr:rowOff>
        </xdr:to>
        <xdr:sp macro="" textlink="">
          <xdr:nvSpPr>
            <xdr:cNvPr id="3099" name="OB02q08" hidden="1">
              <a:extLst>
                <a:ext uri="{63B3BB69-23CF-44E3-9099-C40C66FF867C}">
                  <a14:compatExt spid="_x0000_s3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47625</xdr:rowOff>
        </xdr:from>
        <xdr:to>
          <xdr:col>2</xdr:col>
          <xdr:colOff>228600</xdr:colOff>
          <xdr:row>10</xdr:row>
          <xdr:rowOff>838200</xdr:rowOff>
        </xdr:to>
        <xdr:sp macro="" textlink="">
          <xdr:nvSpPr>
            <xdr:cNvPr id="3100" name="OB02" hidden="1">
              <a:extLst>
                <a:ext uri="{63B3BB69-23CF-44E3-9099-C40C66FF867C}">
                  <a14:compatExt spid="_x0000_s3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12</xdr:row>
          <xdr:rowOff>47625</xdr:rowOff>
        </xdr:from>
        <xdr:to>
          <xdr:col>3</xdr:col>
          <xdr:colOff>561975</xdr:colOff>
          <xdr:row>12</xdr:row>
          <xdr:rowOff>838200</xdr:rowOff>
        </xdr:to>
        <xdr:sp macro="" textlink="">
          <xdr:nvSpPr>
            <xdr:cNvPr id="3102" name="OB03q01" hidden="1">
              <a:extLst>
                <a:ext uri="{63B3BB69-23CF-44E3-9099-C40C66FF867C}">
                  <a14:compatExt spid="_x0000_s3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12</xdr:row>
          <xdr:rowOff>47625</xdr:rowOff>
        </xdr:from>
        <xdr:to>
          <xdr:col>4</xdr:col>
          <xdr:colOff>533400</xdr:colOff>
          <xdr:row>12</xdr:row>
          <xdr:rowOff>838200</xdr:rowOff>
        </xdr:to>
        <xdr:sp macro="" textlink="">
          <xdr:nvSpPr>
            <xdr:cNvPr id="3103" name="OB03q02" hidden="1">
              <a:extLst>
                <a:ext uri="{63B3BB69-23CF-44E3-9099-C40C66FF867C}">
                  <a14:compatExt spid="_x0000_s3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12</xdr:row>
          <xdr:rowOff>47625</xdr:rowOff>
        </xdr:from>
        <xdr:to>
          <xdr:col>5</xdr:col>
          <xdr:colOff>561975</xdr:colOff>
          <xdr:row>12</xdr:row>
          <xdr:rowOff>838200</xdr:rowOff>
        </xdr:to>
        <xdr:sp macro="" textlink="">
          <xdr:nvSpPr>
            <xdr:cNvPr id="3104" name="OB03q03" hidden="1">
              <a:extLst>
                <a:ext uri="{63B3BB69-23CF-44E3-9099-C40C66FF867C}">
                  <a14:compatExt spid="_x0000_s3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12</xdr:row>
          <xdr:rowOff>47625</xdr:rowOff>
        </xdr:from>
        <xdr:to>
          <xdr:col>6</xdr:col>
          <xdr:colOff>561975</xdr:colOff>
          <xdr:row>12</xdr:row>
          <xdr:rowOff>838200</xdr:rowOff>
        </xdr:to>
        <xdr:sp macro="" textlink="">
          <xdr:nvSpPr>
            <xdr:cNvPr id="3105" name="OB03q04" hidden="1">
              <a:extLst>
                <a:ext uri="{63B3BB69-23CF-44E3-9099-C40C66FF867C}">
                  <a14:compatExt spid="_x0000_s3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xdr:row>
          <xdr:rowOff>47625</xdr:rowOff>
        </xdr:from>
        <xdr:to>
          <xdr:col>7</xdr:col>
          <xdr:colOff>561975</xdr:colOff>
          <xdr:row>12</xdr:row>
          <xdr:rowOff>838200</xdr:rowOff>
        </xdr:to>
        <xdr:sp macro="" textlink="">
          <xdr:nvSpPr>
            <xdr:cNvPr id="3106" name="OB03q05" hidden="1">
              <a:extLst>
                <a:ext uri="{63B3BB69-23CF-44E3-9099-C40C66FF867C}">
                  <a14:compatExt spid="_x0000_s3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12</xdr:row>
          <xdr:rowOff>47625</xdr:rowOff>
        </xdr:from>
        <xdr:to>
          <xdr:col>8</xdr:col>
          <xdr:colOff>561975</xdr:colOff>
          <xdr:row>12</xdr:row>
          <xdr:rowOff>838200</xdr:rowOff>
        </xdr:to>
        <xdr:sp macro="" textlink="">
          <xdr:nvSpPr>
            <xdr:cNvPr id="3107" name="OB03q06" hidden="1">
              <a:extLst>
                <a:ext uri="{63B3BB69-23CF-44E3-9099-C40C66FF867C}">
                  <a14:compatExt spid="_x0000_s3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12</xdr:row>
          <xdr:rowOff>47625</xdr:rowOff>
        </xdr:from>
        <xdr:to>
          <xdr:col>9</xdr:col>
          <xdr:colOff>561975</xdr:colOff>
          <xdr:row>12</xdr:row>
          <xdr:rowOff>838200</xdr:rowOff>
        </xdr:to>
        <xdr:sp macro="" textlink="">
          <xdr:nvSpPr>
            <xdr:cNvPr id="3108" name="OB03q07" hidden="1">
              <a:extLst>
                <a:ext uri="{63B3BB69-23CF-44E3-9099-C40C66FF867C}">
                  <a14:compatExt spid="_x0000_s3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12</xdr:row>
          <xdr:rowOff>47625</xdr:rowOff>
        </xdr:from>
        <xdr:to>
          <xdr:col>10</xdr:col>
          <xdr:colOff>561975</xdr:colOff>
          <xdr:row>12</xdr:row>
          <xdr:rowOff>838200</xdr:rowOff>
        </xdr:to>
        <xdr:sp macro="" textlink="">
          <xdr:nvSpPr>
            <xdr:cNvPr id="3109" name="OB03q08" hidden="1">
              <a:extLst>
                <a:ext uri="{63B3BB69-23CF-44E3-9099-C40C66FF867C}">
                  <a14:compatExt spid="_x0000_s3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47625</xdr:rowOff>
        </xdr:from>
        <xdr:to>
          <xdr:col>2</xdr:col>
          <xdr:colOff>228600</xdr:colOff>
          <xdr:row>12</xdr:row>
          <xdr:rowOff>838200</xdr:rowOff>
        </xdr:to>
        <xdr:sp macro="" textlink="">
          <xdr:nvSpPr>
            <xdr:cNvPr id="3110" name="OB03" hidden="1">
              <a:extLst>
                <a:ext uri="{63B3BB69-23CF-44E3-9099-C40C66FF867C}">
                  <a14:compatExt spid="_x0000_s3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14</xdr:row>
          <xdr:rowOff>47625</xdr:rowOff>
        </xdr:from>
        <xdr:to>
          <xdr:col>3</xdr:col>
          <xdr:colOff>561975</xdr:colOff>
          <xdr:row>14</xdr:row>
          <xdr:rowOff>838200</xdr:rowOff>
        </xdr:to>
        <xdr:sp macro="" textlink="">
          <xdr:nvSpPr>
            <xdr:cNvPr id="3120" name="OB04q01"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14</xdr:row>
          <xdr:rowOff>47625</xdr:rowOff>
        </xdr:from>
        <xdr:to>
          <xdr:col>4</xdr:col>
          <xdr:colOff>561975</xdr:colOff>
          <xdr:row>14</xdr:row>
          <xdr:rowOff>838200</xdr:rowOff>
        </xdr:to>
        <xdr:sp macro="" textlink="">
          <xdr:nvSpPr>
            <xdr:cNvPr id="3121" name="OB04q02"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14</xdr:row>
          <xdr:rowOff>38100</xdr:rowOff>
        </xdr:from>
        <xdr:to>
          <xdr:col>5</xdr:col>
          <xdr:colOff>561975</xdr:colOff>
          <xdr:row>14</xdr:row>
          <xdr:rowOff>828675</xdr:rowOff>
        </xdr:to>
        <xdr:sp macro="" textlink="">
          <xdr:nvSpPr>
            <xdr:cNvPr id="3122" name="OB04q03"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14</xdr:row>
          <xdr:rowOff>47625</xdr:rowOff>
        </xdr:from>
        <xdr:to>
          <xdr:col>6</xdr:col>
          <xdr:colOff>561975</xdr:colOff>
          <xdr:row>14</xdr:row>
          <xdr:rowOff>838200</xdr:rowOff>
        </xdr:to>
        <xdr:sp macro="" textlink="">
          <xdr:nvSpPr>
            <xdr:cNvPr id="3123" name="OB04q04"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14</xdr:row>
          <xdr:rowOff>47625</xdr:rowOff>
        </xdr:from>
        <xdr:to>
          <xdr:col>7</xdr:col>
          <xdr:colOff>571500</xdr:colOff>
          <xdr:row>14</xdr:row>
          <xdr:rowOff>838200</xdr:rowOff>
        </xdr:to>
        <xdr:sp macro="" textlink="">
          <xdr:nvSpPr>
            <xdr:cNvPr id="3124" name="OB04q05"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14</xdr:row>
          <xdr:rowOff>47625</xdr:rowOff>
        </xdr:from>
        <xdr:to>
          <xdr:col>8</xdr:col>
          <xdr:colOff>561975</xdr:colOff>
          <xdr:row>14</xdr:row>
          <xdr:rowOff>838200</xdr:rowOff>
        </xdr:to>
        <xdr:sp macro="" textlink="">
          <xdr:nvSpPr>
            <xdr:cNvPr id="3125" name="OB04q06"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14</xdr:row>
          <xdr:rowOff>47625</xdr:rowOff>
        </xdr:from>
        <xdr:to>
          <xdr:col>9</xdr:col>
          <xdr:colOff>561975</xdr:colOff>
          <xdr:row>14</xdr:row>
          <xdr:rowOff>838200</xdr:rowOff>
        </xdr:to>
        <xdr:sp macro="" textlink="">
          <xdr:nvSpPr>
            <xdr:cNvPr id="3126" name="OB04q07" hidden="1">
              <a:extLst>
                <a:ext uri="{63B3BB69-23CF-44E3-9099-C40C66FF867C}">
                  <a14:compatExt spid="_x0000_s3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14</xdr:row>
          <xdr:rowOff>47625</xdr:rowOff>
        </xdr:from>
        <xdr:to>
          <xdr:col>10</xdr:col>
          <xdr:colOff>561975</xdr:colOff>
          <xdr:row>14</xdr:row>
          <xdr:rowOff>838200</xdr:rowOff>
        </xdr:to>
        <xdr:sp macro="" textlink="">
          <xdr:nvSpPr>
            <xdr:cNvPr id="3127" name="OB04q08"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47625</xdr:rowOff>
        </xdr:from>
        <xdr:to>
          <xdr:col>2</xdr:col>
          <xdr:colOff>228600</xdr:colOff>
          <xdr:row>14</xdr:row>
          <xdr:rowOff>838200</xdr:rowOff>
        </xdr:to>
        <xdr:sp macro="" textlink="">
          <xdr:nvSpPr>
            <xdr:cNvPr id="3128" name="OB04"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16</xdr:row>
          <xdr:rowOff>47625</xdr:rowOff>
        </xdr:from>
        <xdr:to>
          <xdr:col>3</xdr:col>
          <xdr:colOff>561975</xdr:colOff>
          <xdr:row>16</xdr:row>
          <xdr:rowOff>838200</xdr:rowOff>
        </xdr:to>
        <xdr:sp macro="" textlink="">
          <xdr:nvSpPr>
            <xdr:cNvPr id="3138" name="OB05q01"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16</xdr:row>
          <xdr:rowOff>47625</xdr:rowOff>
        </xdr:from>
        <xdr:to>
          <xdr:col>4</xdr:col>
          <xdr:colOff>561975</xdr:colOff>
          <xdr:row>16</xdr:row>
          <xdr:rowOff>838200</xdr:rowOff>
        </xdr:to>
        <xdr:sp macro="" textlink="">
          <xdr:nvSpPr>
            <xdr:cNvPr id="3139" name="OB05q02"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16</xdr:row>
          <xdr:rowOff>47625</xdr:rowOff>
        </xdr:from>
        <xdr:to>
          <xdr:col>5</xdr:col>
          <xdr:colOff>561975</xdr:colOff>
          <xdr:row>16</xdr:row>
          <xdr:rowOff>838200</xdr:rowOff>
        </xdr:to>
        <xdr:sp macro="" textlink="">
          <xdr:nvSpPr>
            <xdr:cNvPr id="3140" name="OB05q03"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16</xdr:row>
          <xdr:rowOff>47625</xdr:rowOff>
        </xdr:from>
        <xdr:to>
          <xdr:col>6</xdr:col>
          <xdr:colOff>561975</xdr:colOff>
          <xdr:row>16</xdr:row>
          <xdr:rowOff>838200</xdr:rowOff>
        </xdr:to>
        <xdr:sp macro="" textlink="">
          <xdr:nvSpPr>
            <xdr:cNvPr id="3141" name="OB05q04"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16</xdr:row>
          <xdr:rowOff>47625</xdr:rowOff>
        </xdr:from>
        <xdr:to>
          <xdr:col>7</xdr:col>
          <xdr:colOff>561975</xdr:colOff>
          <xdr:row>16</xdr:row>
          <xdr:rowOff>838200</xdr:rowOff>
        </xdr:to>
        <xdr:sp macro="" textlink="">
          <xdr:nvSpPr>
            <xdr:cNvPr id="3142" name="OB05q05"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16</xdr:row>
          <xdr:rowOff>47625</xdr:rowOff>
        </xdr:from>
        <xdr:to>
          <xdr:col>8</xdr:col>
          <xdr:colOff>561975</xdr:colOff>
          <xdr:row>16</xdr:row>
          <xdr:rowOff>838200</xdr:rowOff>
        </xdr:to>
        <xdr:sp macro="" textlink="">
          <xdr:nvSpPr>
            <xdr:cNvPr id="3143" name="OB05q06"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16</xdr:row>
          <xdr:rowOff>47625</xdr:rowOff>
        </xdr:from>
        <xdr:to>
          <xdr:col>9</xdr:col>
          <xdr:colOff>561975</xdr:colOff>
          <xdr:row>16</xdr:row>
          <xdr:rowOff>838200</xdr:rowOff>
        </xdr:to>
        <xdr:sp macro="" textlink="">
          <xdr:nvSpPr>
            <xdr:cNvPr id="3144" name="OB05q07"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16</xdr:row>
          <xdr:rowOff>47625</xdr:rowOff>
        </xdr:from>
        <xdr:to>
          <xdr:col>10</xdr:col>
          <xdr:colOff>561975</xdr:colOff>
          <xdr:row>16</xdr:row>
          <xdr:rowOff>838200</xdr:rowOff>
        </xdr:to>
        <xdr:sp macro="" textlink="">
          <xdr:nvSpPr>
            <xdr:cNvPr id="3145" name="OB05q08"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47625</xdr:rowOff>
        </xdr:from>
        <xdr:to>
          <xdr:col>2</xdr:col>
          <xdr:colOff>228600</xdr:colOff>
          <xdr:row>16</xdr:row>
          <xdr:rowOff>838200</xdr:rowOff>
        </xdr:to>
        <xdr:sp macro="" textlink="">
          <xdr:nvSpPr>
            <xdr:cNvPr id="3146" name="OB05" hidden="1">
              <a:extLst>
                <a:ext uri="{63B3BB69-23CF-44E3-9099-C40C66FF867C}">
                  <a14:compatExt spid="_x0000_s3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18</xdr:row>
          <xdr:rowOff>47625</xdr:rowOff>
        </xdr:from>
        <xdr:to>
          <xdr:col>3</xdr:col>
          <xdr:colOff>561975</xdr:colOff>
          <xdr:row>18</xdr:row>
          <xdr:rowOff>838200</xdr:rowOff>
        </xdr:to>
        <xdr:sp macro="" textlink="">
          <xdr:nvSpPr>
            <xdr:cNvPr id="3147" name="OB06q01" hidden="1">
              <a:extLst>
                <a:ext uri="{63B3BB69-23CF-44E3-9099-C40C66FF867C}">
                  <a14:compatExt spid="_x0000_s3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18</xdr:row>
          <xdr:rowOff>47625</xdr:rowOff>
        </xdr:from>
        <xdr:to>
          <xdr:col>4</xdr:col>
          <xdr:colOff>561975</xdr:colOff>
          <xdr:row>18</xdr:row>
          <xdr:rowOff>838200</xdr:rowOff>
        </xdr:to>
        <xdr:sp macro="" textlink="">
          <xdr:nvSpPr>
            <xdr:cNvPr id="3148" name="OB06q02" hidden="1">
              <a:extLst>
                <a:ext uri="{63B3BB69-23CF-44E3-9099-C40C66FF867C}">
                  <a14:compatExt spid="_x0000_s3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47625</xdr:rowOff>
        </xdr:from>
        <xdr:to>
          <xdr:col>5</xdr:col>
          <xdr:colOff>561975</xdr:colOff>
          <xdr:row>18</xdr:row>
          <xdr:rowOff>838200</xdr:rowOff>
        </xdr:to>
        <xdr:sp macro="" textlink="">
          <xdr:nvSpPr>
            <xdr:cNvPr id="3149" name="OB06q03" hidden="1">
              <a:extLst>
                <a:ext uri="{63B3BB69-23CF-44E3-9099-C40C66FF867C}">
                  <a14:compatExt spid="_x0000_s3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47625</xdr:rowOff>
        </xdr:from>
        <xdr:to>
          <xdr:col>6</xdr:col>
          <xdr:colOff>561975</xdr:colOff>
          <xdr:row>18</xdr:row>
          <xdr:rowOff>838200</xdr:rowOff>
        </xdr:to>
        <xdr:sp macro="" textlink="">
          <xdr:nvSpPr>
            <xdr:cNvPr id="3150" name="OB06q04" hidden="1">
              <a:extLst>
                <a:ext uri="{63B3BB69-23CF-44E3-9099-C40C66FF867C}">
                  <a14:compatExt spid="_x0000_s3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18</xdr:row>
          <xdr:rowOff>47625</xdr:rowOff>
        </xdr:from>
        <xdr:to>
          <xdr:col>7</xdr:col>
          <xdr:colOff>561975</xdr:colOff>
          <xdr:row>18</xdr:row>
          <xdr:rowOff>838200</xdr:rowOff>
        </xdr:to>
        <xdr:sp macro="" textlink="">
          <xdr:nvSpPr>
            <xdr:cNvPr id="3151" name="OB06q05" hidden="1">
              <a:extLst>
                <a:ext uri="{63B3BB69-23CF-44E3-9099-C40C66FF867C}">
                  <a14:compatExt spid="_x0000_s3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18</xdr:row>
          <xdr:rowOff>47625</xdr:rowOff>
        </xdr:from>
        <xdr:to>
          <xdr:col>8</xdr:col>
          <xdr:colOff>561975</xdr:colOff>
          <xdr:row>18</xdr:row>
          <xdr:rowOff>838200</xdr:rowOff>
        </xdr:to>
        <xdr:sp macro="" textlink="">
          <xdr:nvSpPr>
            <xdr:cNvPr id="3152" name="OB06q06" hidden="1">
              <a:extLst>
                <a:ext uri="{63B3BB69-23CF-44E3-9099-C40C66FF867C}">
                  <a14:compatExt spid="_x0000_s3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18</xdr:row>
          <xdr:rowOff>47625</xdr:rowOff>
        </xdr:from>
        <xdr:to>
          <xdr:col>9</xdr:col>
          <xdr:colOff>561975</xdr:colOff>
          <xdr:row>18</xdr:row>
          <xdr:rowOff>838200</xdr:rowOff>
        </xdr:to>
        <xdr:sp macro="" textlink="">
          <xdr:nvSpPr>
            <xdr:cNvPr id="3153" name="OB06q07" hidden="1">
              <a:extLst>
                <a:ext uri="{63B3BB69-23CF-44E3-9099-C40C66FF867C}">
                  <a14:compatExt spid="_x0000_s3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18</xdr:row>
          <xdr:rowOff>47625</xdr:rowOff>
        </xdr:from>
        <xdr:to>
          <xdr:col>10</xdr:col>
          <xdr:colOff>561975</xdr:colOff>
          <xdr:row>18</xdr:row>
          <xdr:rowOff>838200</xdr:rowOff>
        </xdr:to>
        <xdr:sp macro="" textlink="">
          <xdr:nvSpPr>
            <xdr:cNvPr id="3154" name="OB06q08" hidden="1">
              <a:extLst>
                <a:ext uri="{63B3BB69-23CF-44E3-9099-C40C66FF867C}">
                  <a14:compatExt spid="_x0000_s3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18</xdr:row>
          <xdr:rowOff>47625</xdr:rowOff>
        </xdr:from>
        <xdr:to>
          <xdr:col>2</xdr:col>
          <xdr:colOff>228600</xdr:colOff>
          <xdr:row>18</xdr:row>
          <xdr:rowOff>838200</xdr:rowOff>
        </xdr:to>
        <xdr:sp macro="" textlink="">
          <xdr:nvSpPr>
            <xdr:cNvPr id="3155" name="OB06" hidden="1">
              <a:extLst>
                <a:ext uri="{63B3BB69-23CF-44E3-9099-C40C66FF867C}">
                  <a14:compatExt spid="_x0000_s3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20</xdr:row>
          <xdr:rowOff>47625</xdr:rowOff>
        </xdr:from>
        <xdr:to>
          <xdr:col>3</xdr:col>
          <xdr:colOff>561975</xdr:colOff>
          <xdr:row>20</xdr:row>
          <xdr:rowOff>838200</xdr:rowOff>
        </xdr:to>
        <xdr:sp macro="" textlink="">
          <xdr:nvSpPr>
            <xdr:cNvPr id="3156" name="OB07q01" hidden="1">
              <a:extLst>
                <a:ext uri="{63B3BB69-23CF-44E3-9099-C40C66FF867C}">
                  <a14:compatExt spid="_x0000_s3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20</xdr:row>
          <xdr:rowOff>47625</xdr:rowOff>
        </xdr:from>
        <xdr:to>
          <xdr:col>4</xdr:col>
          <xdr:colOff>561975</xdr:colOff>
          <xdr:row>20</xdr:row>
          <xdr:rowOff>838200</xdr:rowOff>
        </xdr:to>
        <xdr:sp macro="" textlink="">
          <xdr:nvSpPr>
            <xdr:cNvPr id="3157" name="OB07q02" hidden="1">
              <a:extLst>
                <a:ext uri="{63B3BB69-23CF-44E3-9099-C40C66FF867C}">
                  <a14:compatExt spid="_x0000_s3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47625</xdr:rowOff>
        </xdr:from>
        <xdr:to>
          <xdr:col>5</xdr:col>
          <xdr:colOff>561975</xdr:colOff>
          <xdr:row>20</xdr:row>
          <xdr:rowOff>838200</xdr:rowOff>
        </xdr:to>
        <xdr:sp macro="" textlink="">
          <xdr:nvSpPr>
            <xdr:cNvPr id="3158" name="OB07q03" hidden="1">
              <a:extLst>
                <a:ext uri="{63B3BB69-23CF-44E3-9099-C40C66FF867C}">
                  <a14:compatExt spid="_x0000_s3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47625</xdr:rowOff>
        </xdr:from>
        <xdr:to>
          <xdr:col>6</xdr:col>
          <xdr:colOff>561975</xdr:colOff>
          <xdr:row>20</xdr:row>
          <xdr:rowOff>838200</xdr:rowOff>
        </xdr:to>
        <xdr:sp macro="" textlink="">
          <xdr:nvSpPr>
            <xdr:cNvPr id="3159" name="OB07q04" hidden="1">
              <a:extLst>
                <a:ext uri="{63B3BB69-23CF-44E3-9099-C40C66FF867C}">
                  <a14:compatExt spid="_x0000_s3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20</xdr:row>
          <xdr:rowOff>47625</xdr:rowOff>
        </xdr:from>
        <xdr:to>
          <xdr:col>7</xdr:col>
          <xdr:colOff>561975</xdr:colOff>
          <xdr:row>20</xdr:row>
          <xdr:rowOff>838200</xdr:rowOff>
        </xdr:to>
        <xdr:sp macro="" textlink="">
          <xdr:nvSpPr>
            <xdr:cNvPr id="3160" name="OB07q05" hidden="1">
              <a:extLst>
                <a:ext uri="{63B3BB69-23CF-44E3-9099-C40C66FF867C}">
                  <a14:compatExt spid="_x0000_s3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20</xdr:row>
          <xdr:rowOff>47625</xdr:rowOff>
        </xdr:from>
        <xdr:to>
          <xdr:col>8</xdr:col>
          <xdr:colOff>561975</xdr:colOff>
          <xdr:row>20</xdr:row>
          <xdr:rowOff>838200</xdr:rowOff>
        </xdr:to>
        <xdr:sp macro="" textlink="">
          <xdr:nvSpPr>
            <xdr:cNvPr id="3161" name="OB07q06" hidden="1">
              <a:extLst>
                <a:ext uri="{63B3BB69-23CF-44E3-9099-C40C66FF867C}">
                  <a14:compatExt spid="_x0000_s3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20</xdr:row>
          <xdr:rowOff>47625</xdr:rowOff>
        </xdr:from>
        <xdr:to>
          <xdr:col>9</xdr:col>
          <xdr:colOff>561975</xdr:colOff>
          <xdr:row>20</xdr:row>
          <xdr:rowOff>838200</xdr:rowOff>
        </xdr:to>
        <xdr:sp macro="" textlink="">
          <xdr:nvSpPr>
            <xdr:cNvPr id="3162" name="OB07q07" hidden="1">
              <a:extLst>
                <a:ext uri="{63B3BB69-23CF-44E3-9099-C40C66FF867C}">
                  <a14:compatExt spid="_x0000_s3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20</xdr:row>
          <xdr:rowOff>47625</xdr:rowOff>
        </xdr:from>
        <xdr:to>
          <xdr:col>10</xdr:col>
          <xdr:colOff>561975</xdr:colOff>
          <xdr:row>20</xdr:row>
          <xdr:rowOff>838200</xdr:rowOff>
        </xdr:to>
        <xdr:sp macro="" textlink="">
          <xdr:nvSpPr>
            <xdr:cNvPr id="3163" name="OB07q08" hidden="1">
              <a:extLst>
                <a:ext uri="{63B3BB69-23CF-44E3-9099-C40C66FF867C}">
                  <a14:compatExt spid="_x0000_s3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20</xdr:row>
          <xdr:rowOff>47625</xdr:rowOff>
        </xdr:from>
        <xdr:to>
          <xdr:col>2</xdr:col>
          <xdr:colOff>228600</xdr:colOff>
          <xdr:row>20</xdr:row>
          <xdr:rowOff>838200</xdr:rowOff>
        </xdr:to>
        <xdr:sp macro="" textlink="">
          <xdr:nvSpPr>
            <xdr:cNvPr id="3164" name="OB07" hidden="1">
              <a:extLst>
                <a:ext uri="{63B3BB69-23CF-44E3-9099-C40C66FF867C}">
                  <a14:compatExt spid="_x0000_s3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22</xdr:row>
          <xdr:rowOff>47625</xdr:rowOff>
        </xdr:from>
        <xdr:to>
          <xdr:col>3</xdr:col>
          <xdr:colOff>561975</xdr:colOff>
          <xdr:row>22</xdr:row>
          <xdr:rowOff>838200</xdr:rowOff>
        </xdr:to>
        <xdr:sp macro="" textlink="">
          <xdr:nvSpPr>
            <xdr:cNvPr id="3174" name="OB08q01" hidden="1">
              <a:extLst>
                <a:ext uri="{63B3BB69-23CF-44E3-9099-C40C66FF867C}">
                  <a14:compatExt spid="_x0000_s3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22</xdr:row>
          <xdr:rowOff>47625</xdr:rowOff>
        </xdr:from>
        <xdr:to>
          <xdr:col>4</xdr:col>
          <xdr:colOff>561975</xdr:colOff>
          <xdr:row>22</xdr:row>
          <xdr:rowOff>838200</xdr:rowOff>
        </xdr:to>
        <xdr:sp macro="" textlink="">
          <xdr:nvSpPr>
            <xdr:cNvPr id="3175" name="OB08q02" hidden="1">
              <a:extLst>
                <a:ext uri="{63B3BB69-23CF-44E3-9099-C40C66FF867C}">
                  <a14:compatExt spid="_x0000_s3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47625</xdr:rowOff>
        </xdr:from>
        <xdr:to>
          <xdr:col>5</xdr:col>
          <xdr:colOff>561975</xdr:colOff>
          <xdr:row>22</xdr:row>
          <xdr:rowOff>838200</xdr:rowOff>
        </xdr:to>
        <xdr:sp macro="" textlink="">
          <xdr:nvSpPr>
            <xdr:cNvPr id="3176" name="OB08q03" hidden="1">
              <a:extLst>
                <a:ext uri="{63B3BB69-23CF-44E3-9099-C40C66FF867C}">
                  <a14:compatExt spid="_x0000_s3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22</xdr:row>
          <xdr:rowOff>47625</xdr:rowOff>
        </xdr:from>
        <xdr:to>
          <xdr:col>6</xdr:col>
          <xdr:colOff>561975</xdr:colOff>
          <xdr:row>22</xdr:row>
          <xdr:rowOff>838200</xdr:rowOff>
        </xdr:to>
        <xdr:sp macro="" textlink="">
          <xdr:nvSpPr>
            <xdr:cNvPr id="3177" name="OB08q04" hidden="1">
              <a:extLst>
                <a:ext uri="{63B3BB69-23CF-44E3-9099-C40C66FF867C}">
                  <a14:compatExt spid="_x0000_s3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22</xdr:row>
          <xdr:rowOff>47625</xdr:rowOff>
        </xdr:from>
        <xdr:to>
          <xdr:col>7</xdr:col>
          <xdr:colOff>561975</xdr:colOff>
          <xdr:row>22</xdr:row>
          <xdr:rowOff>838200</xdr:rowOff>
        </xdr:to>
        <xdr:sp macro="" textlink="">
          <xdr:nvSpPr>
            <xdr:cNvPr id="3178" name="OB08q05" hidden="1">
              <a:extLst>
                <a:ext uri="{63B3BB69-23CF-44E3-9099-C40C66FF867C}">
                  <a14:compatExt spid="_x0000_s3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22</xdr:row>
          <xdr:rowOff>47625</xdr:rowOff>
        </xdr:from>
        <xdr:to>
          <xdr:col>8</xdr:col>
          <xdr:colOff>561975</xdr:colOff>
          <xdr:row>22</xdr:row>
          <xdr:rowOff>838200</xdr:rowOff>
        </xdr:to>
        <xdr:sp macro="" textlink="">
          <xdr:nvSpPr>
            <xdr:cNvPr id="3179" name="OB08q06" hidden="1">
              <a:extLst>
                <a:ext uri="{63B3BB69-23CF-44E3-9099-C40C66FF867C}">
                  <a14:compatExt spid="_x0000_s3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22</xdr:row>
          <xdr:rowOff>47625</xdr:rowOff>
        </xdr:from>
        <xdr:to>
          <xdr:col>9</xdr:col>
          <xdr:colOff>561975</xdr:colOff>
          <xdr:row>22</xdr:row>
          <xdr:rowOff>838200</xdr:rowOff>
        </xdr:to>
        <xdr:sp macro="" textlink="">
          <xdr:nvSpPr>
            <xdr:cNvPr id="3180" name="OB08q07" hidden="1">
              <a:extLst>
                <a:ext uri="{63B3BB69-23CF-44E3-9099-C40C66FF867C}">
                  <a14:compatExt spid="_x0000_s3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22</xdr:row>
          <xdr:rowOff>47625</xdr:rowOff>
        </xdr:from>
        <xdr:to>
          <xdr:col>10</xdr:col>
          <xdr:colOff>561975</xdr:colOff>
          <xdr:row>22</xdr:row>
          <xdr:rowOff>838200</xdr:rowOff>
        </xdr:to>
        <xdr:sp macro="" textlink="">
          <xdr:nvSpPr>
            <xdr:cNvPr id="3181" name="OB08q08" hidden="1">
              <a:extLst>
                <a:ext uri="{63B3BB69-23CF-44E3-9099-C40C66FF867C}">
                  <a14:compatExt spid="_x0000_s3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22</xdr:row>
          <xdr:rowOff>47625</xdr:rowOff>
        </xdr:from>
        <xdr:to>
          <xdr:col>2</xdr:col>
          <xdr:colOff>228600</xdr:colOff>
          <xdr:row>22</xdr:row>
          <xdr:rowOff>838200</xdr:rowOff>
        </xdr:to>
        <xdr:sp macro="" textlink="">
          <xdr:nvSpPr>
            <xdr:cNvPr id="3182" name="OB08" hidden="1">
              <a:extLst>
                <a:ext uri="{63B3BB69-23CF-44E3-9099-C40C66FF867C}">
                  <a14:compatExt spid="_x0000_s3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24</xdr:row>
          <xdr:rowOff>47625</xdr:rowOff>
        </xdr:from>
        <xdr:to>
          <xdr:col>3</xdr:col>
          <xdr:colOff>561975</xdr:colOff>
          <xdr:row>24</xdr:row>
          <xdr:rowOff>838200</xdr:rowOff>
        </xdr:to>
        <xdr:sp macro="" textlink="">
          <xdr:nvSpPr>
            <xdr:cNvPr id="3192" name="OB09q01" hidden="1">
              <a:extLst>
                <a:ext uri="{63B3BB69-23CF-44E3-9099-C40C66FF867C}">
                  <a14:compatExt spid="_x0000_s3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24</xdr:row>
          <xdr:rowOff>47625</xdr:rowOff>
        </xdr:from>
        <xdr:to>
          <xdr:col>4</xdr:col>
          <xdr:colOff>561975</xdr:colOff>
          <xdr:row>24</xdr:row>
          <xdr:rowOff>838200</xdr:rowOff>
        </xdr:to>
        <xdr:sp macro="" textlink="">
          <xdr:nvSpPr>
            <xdr:cNvPr id="3193" name="OB09q02" hidden="1">
              <a:extLst>
                <a:ext uri="{63B3BB69-23CF-44E3-9099-C40C66FF867C}">
                  <a14:compatExt spid="_x0000_s31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24</xdr:row>
          <xdr:rowOff>47625</xdr:rowOff>
        </xdr:from>
        <xdr:to>
          <xdr:col>5</xdr:col>
          <xdr:colOff>561975</xdr:colOff>
          <xdr:row>24</xdr:row>
          <xdr:rowOff>838200</xdr:rowOff>
        </xdr:to>
        <xdr:sp macro="" textlink="">
          <xdr:nvSpPr>
            <xdr:cNvPr id="3194" name="OB09q03" hidden="1">
              <a:extLst>
                <a:ext uri="{63B3BB69-23CF-44E3-9099-C40C66FF867C}">
                  <a14:compatExt spid="_x0000_s3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24</xdr:row>
          <xdr:rowOff>47625</xdr:rowOff>
        </xdr:from>
        <xdr:to>
          <xdr:col>6</xdr:col>
          <xdr:colOff>561975</xdr:colOff>
          <xdr:row>24</xdr:row>
          <xdr:rowOff>838200</xdr:rowOff>
        </xdr:to>
        <xdr:sp macro="" textlink="">
          <xdr:nvSpPr>
            <xdr:cNvPr id="3195" name="OB09q04" hidden="1">
              <a:extLst>
                <a:ext uri="{63B3BB69-23CF-44E3-9099-C40C66FF867C}">
                  <a14:compatExt spid="_x0000_s3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24</xdr:row>
          <xdr:rowOff>47625</xdr:rowOff>
        </xdr:from>
        <xdr:to>
          <xdr:col>7</xdr:col>
          <xdr:colOff>561975</xdr:colOff>
          <xdr:row>24</xdr:row>
          <xdr:rowOff>838200</xdr:rowOff>
        </xdr:to>
        <xdr:sp macro="" textlink="">
          <xdr:nvSpPr>
            <xdr:cNvPr id="3196" name="OB09q05" hidden="1">
              <a:extLst>
                <a:ext uri="{63B3BB69-23CF-44E3-9099-C40C66FF867C}">
                  <a14:compatExt spid="_x0000_s3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24</xdr:row>
          <xdr:rowOff>47625</xdr:rowOff>
        </xdr:from>
        <xdr:to>
          <xdr:col>8</xdr:col>
          <xdr:colOff>561975</xdr:colOff>
          <xdr:row>24</xdr:row>
          <xdr:rowOff>838200</xdr:rowOff>
        </xdr:to>
        <xdr:sp macro="" textlink="">
          <xdr:nvSpPr>
            <xdr:cNvPr id="3197" name="OB09q06" hidden="1">
              <a:extLst>
                <a:ext uri="{63B3BB69-23CF-44E3-9099-C40C66FF867C}">
                  <a14:compatExt spid="_x0000_s31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24</xdr:row>
          <xdr:rowOff>47625</xdr:rowOff>
        </xdr:from>
        <xdr:to>
          <xdr:col>9</xdr:col>
          <xdr:colOff>561975</xdr:colOff>
          <xdr:row>24</xdr:row>
          <xdr:rowOff>838200</xdr:rowOff>
        </xdr:to>
        <xdr:sp macro="" textlink="">
          <xdr:nvSpPr>
            <xdr:cNvPr id="3198" name="OB09q07" hidden="1">
              <a:extLst>
                <a:ext uri="{63B3BB69-23CF-44E3-9099-C40C66FF867C}">
                  <a14:compatExt spid="_x0000_s31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24</xdr:row>
          <xdr:rowOff>47625</xdr:rowOff>
        </xdr:from>
        <xdr:to>
          <xdr:col>10</xdr:col>
          <xdr:colOff>561975</xdr:colOff>
          <xdr:row>24</xdr:row>
          <xdr:rowOff>838200</xdr:rowOff>
        </xdr:to>
        <xdr:sp macro="" textlink="">
          <xdr:nvSpPr>
            <xdr:cNvPr id="3199" name="OB09q08" hidden="1">
              <a:extLst>
                <a:ext uri="{63B3BB69-23CF-44E3-9099-C40C66FF867C}">
                  <a14:compatExt spid="_x0000_s3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24</xdr:row>
          <xdr:rowOff>47625</xdr:rowOff>
        </xdr:from>
        <xdr:to>
          <xdr:col>2</xdr:col>
          <xdr:colOff>228600</xdr:colOff>
          <xdr:row>24</xdr:row>
          <xdr:rowOff>838200</xdr:rowOff>
        </xdr:to>
        <xdr:sp macro="" textlink="">
          <xdr:nvSpPr>
            <xdr:cNvPr id="3200" name="OB09" hidden="1">
              <a:extLst>
                <a:ext uri="{63B3BB69-23CF-44E3-9099-C40C66FF867C}">
                  <a14:compatExt spid="_x0000_s3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26</xdr:row>
          <xdr:rowOff>47625</xdr:rowOff>
        </xdr:from>
        <xdr:to>
          <xdr:col>3</xdr:col>
          <xdr:colOff>561975</xdr:colOff>
          <xdr:row>26</xdr:row>
          <xdr:rowOff>838200</xdr:rowOff>
        </xdr:to>
        <xdr:sp macro="" textlink="">
          <xdr:nvSpPr>
            <xdr:cNvPr id="3210" name="OB10q01" hidden="1">
              <a:extLst>
                <a:ext uri="{63B3BB69-23CF-44E3-9099-C40C66FF867C}">
                  <a14:compatExt spid="_x0000_s3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26</xdr:row>
          <xdr:rowOff>47625</xdr:rowOff>
        </xdr:from>
        <xdr:to>
          <xdr:col>4</xdr:col>
          <xdr:colOff>561975</xdr:colOff>
          <xdr:row>26</xdr:row>
          <xdr:rowOff>838200</xdr:rowOff>
        </xdr:to>
        <xdr:sp macro="" textlink="">
          <xdr:nvSpPr>
            <xdr:cNvPr id="3211" name="OB10q02" hidden="1">
              <a:extLst>
                <a:ext uri="{63B3BB69-23CF-44E3-9099-C40C66FF867C}">
                  <a14:compatExt spid="_x0000_s3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26</xdr:row>
          <xdr:rowOff>47625</xdr:rowOff>
        </xdr:from>
        <xdr:to>
          <xdr:col>5</xdr:col>
          <xdr:colOff>561975</xdr:colOff>
          <xdr:row>26</xdr:row>
          <xdr:rowOff>838200</xdr:rowOff>
        </xdr:to>
        <xdr:sp macro="" textlink="">
          <xdr:nvSpPr>
            <xdr:cNvPr id="3212" name="OB10q03" hidden="1">
              <a:extLst>
                <a:ext uri="{63B3BB69-23CF-44E3-9099-C40C66FF867C}">
                  <a14:compatExt spid="_x0000_s3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26</xdr:row>
          <xdr:rowOff>47625</xdr:rowOff>
        </xdr:from>
        <xdr:to>
          <xdr:col>6</xdr:col>
          <xdr:colOff>561975</xdr:colOff>
          <xdr:row>26</xdr:row>
          <xdr:rowOff>838200</xdr:rowOff>
        </xdr:to>
        <xdr:sp macro="" textlink="">
          <xdr:nvSpPr>
            <xdr:cNvPr id="3213" name="OB10q04" hidden="1">
              <a:extLst>
                <a:ext uri="{63B3BB69-23CF-44E3-9099-C40C66FF867C}">
                  <a14:compatExt spid="_x0000_s3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26</xdr:row>
          <xdr:rowOff>47625</xdr:rowOff>
        </xdr:from>
        <xdr:to>
          <xdr:col>7</xdr:col>
          <xdr:colOff>561975</xdr:colOff>
          <xdr:row>26</xdr:row>
          <xdr:rowOff>838200</xdr:rowOff>
        </xdr:to>
        <xdr:sp macro="" textlink="">
          <xdr:nvSpPr>
            <xdr:cNvPr id="3214" name="OB10q05" hidden="1">
              <a:extLst>
                <a:ext uri="{63B3BB69-23CF-44E3-9099-C40C66FF867C}">
                  <a14:compatExt spid="_x0000_s3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26</xdr:row>
          <xdr:rowOff>47625</xdr:rowOff>
        </xdr:from>
        <xdr:to>
          <xdr:col>8</xdr:col>
          <xdr:colOff>561975</xdr:colOff>
          <xdr:row>26</xdr:row>
          <xdr:rowOff>838200</xdr:rowOff>
        </xdr:to>
        <xdr:sp macro="" textlink="">
          <xdr:nvSpPr>
            <xdr:cNvPr id="3215" name="OB10q06" hidden="1">
              <a:extLst>
                <a:ext uri="{63B3BB69-23CF-44E3-9099-C40C66FF867C}">
                  <a14:compatExt spid="_x0000_s3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26</xdr:row>
          <xdr:rowOff>47625</xdr:rowOff>
        </xdr:from>
        <xdr:to>
          <xdr:col>9</xdr:col>
          <xdr:colOff>561975</xdr:colOff>
          <xdr:row>26</xdr:row>
          <xdr:rowOff>838200</xdr:rowOff>
        </xdr:to>
        <xdr:sp macro="" textlink="">
          <xdr:nvSpPr>
            <xdr:cNvPr id="3216" name="OB10q07" hidden="1">
              <a:extLst>
                <a:ext uri="{63B3BB69-23CF-44E3-9099-C40C66FF867C}">
                  <a14:compatExt spid="_x0000_s3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26</xdr:row>
          <xdr:rowOff>47625</xdr:rowOff>
        </xdr:from>
        <xdr:to>
          <xdr:col>10</xdr:col>
          <xdr:colOff>561975</xdr:colOff>
          <xdr:row>26</xdr:row>
          <xdr:rowOff>838200</xdr:rowOff>
        </xdr:to>
        <xdr:sp macro="" textlink="">
          <xdr:nvSpPr>
            <xdr:cNvPr id="3217" name="OB10q08" hidden="1">
              <a:extLst>
                <a:ext uri="{63B3BB69-23CF-44E3-9099-C40C66FF867C}">
                  <a14:compatExt spid="_x0000_s3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26</xdr:row>
          <xdr:rowOff>47625</xdr:rowOff>
        </xdr:from>
        <xdr:to>
          <xdr:col>2</xdr:col>
          <xdr:colOff>228600</xdr:colOff>
          <xdr:row>26</xdr:row>
          <xdr:rowOff>838200</xdr:rowOff>
        </xdr:to>
        <xdr:sp macro="" textlink="">
          <xdr:nvSpPr>
            <xdr:cNvPr id="3218" name="OB10" hidden="1">
              <a:extLst>
                <a:ext uri="{63B3BB69-23CF-44E3-9099-C40C66FF867C}">
                  <a14:compatExt spid="_x0000_s3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28</xdr:row>
          <xdr:rowOff>47625</xdr:rowOff>
        </xdr:from>
        <xdr:to>
          <xdr:col>3</xdr:col>
          <xdr:colOff>561975</xdr:colOff>
          <xdr:row>28</xdr:row>
          <xdr:rowOff>838200</xdr:rowOff>
        </xdr:to>
        <xdr:sp macro="" textlink="">
          <xdr:nvSpPr>
            <xdr:cNvPr id="3219" name="OB11q01" hidden="1">
              <a:extLst>
                <a:ext uri="{63B3BB69-23CF-44E3-9099-C40C66FF867C}">
                  <a14:compatExt spid="_x0000_s3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28</xdr:row>
          <xdr:rowOff>47625</xdr:rowOff>
        </xdr:from>
        <xdr:to>
          <xdr:col>4</xdr:col>
          <xdr:colOff>561975</xdr:colOff>
          <xdr:row>28</xdr:row>
          <xdr:rowOff>838200</xdr:rowOff>
        </xdr:to>
        <xdr:sp macro="" textlink="">
          <xdr:nvSpPr>
            <xdr:cNvPr id="3220" name="OB11q02" hidden="1">
              <a:extLst>
                <a:ext uri="{63B3BB69-23CF-44E3-9099-C40C66FF867C}">
                  <a14:compatExt spid="_x0000_s3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28</xdr:row>
          <xdr:rowOff>47625</xdr:rowOff>
        </xdr:from>
        <xdr:to>
          <xdr:col>5</xdr:col>
          <xdr:colOff>561975</xdr:colOff>
          <xdr:row>28</xdr:row>
          <xdr:rowOff>838200</xdr:rowOff>
        </xdr:to>
        <xdr:sp macro="" textlink="">
          <xdr:nvSpPr>
            <xdr:cNvPr id="3221" name="OB11q03" hidden="1">
              <a:extLst>
                <a:ext uri="{63B3BB69-23CF-44E3-9099-C40C66FF867C}">
                  <a14:compatExt spid="_x0000_s3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28</xdr:row>
          <xdr:rowOff>47625</xdr:rowOff>
        </xdr:from>
        <xdr:to>
          <xdr:col>6</xdr:col>
          <xdr:colOff>561975</xdr:colOff>
          <xdr:row>28</xdr:row>
          <xdr:rowOff>838200</xdr:rowOff>
        </xdr:to>
        <xdr:sp macro="" textlink="">
          <xdr:nvSpPr>
            <xdr:cNvPr id="3222" name="OB11q04" hidden="1">
              <a:extLst>
                <a:ext uri="{63B3BB69-23CF-44E3-9099-C40C66FF867C}">
                  <a14:compatExt spid="_x0000_s3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28</xdr:row>
          <xdr:rowOff>47625</xdr:rowOff>
        </xdr:from>
        <xdr:to>
          <xdr:col>7</xdr:col>
          <xdr:colOff>561975</xdr:colOff>
          <xdr:row>28</xdr:row>
          <xdr:rowOff>838200</xdr:rowOff>
        </xdr:to>
        <xdr:sp macro="" textlink="">
          <xdr:nvSpPr>
            <xdr:cNvPr id="3223" name="OB11q05" hidden="1">
              <a:extLst>
                <a:ext uri="{63B3BB69-23CF-44E3-9099-C40C66FF867C}">
                  <a14:compatExt spid="_x0000_s3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28</xdr:row>
          <xdr:rowOff>47625</xdr:rowOff>
        </xdr:from>
        <xdr:to>
          <xdr:col>8</xdr:col>
          <xdr:colOff>561975</xdr:colOff>
          <xdr:row>28</xdr:row>
          <xdr:rowOff>838200</xdr:rowOff>
        </xdr:to>
        <xdr:sp macro="" textlink="">
          <xdr:nvSpPr>
            <xdr:cNvPr id="3224" name="OB11q06" hidden="1">
              <a:extLst>
                <a:ext uri="{63B3BB69-23CF-44E3-9099-C40C66FF867C}">
                  <a14:compatExt spid="_x0000_s3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28</xdr:row>
          <xdr:rowOff>47625</xdr:rowOff>
        </xdr:from>
        <xdr:to>
          <xdr:col>9</xdr:col>
          <xdr:colOff>561975</xdr:colOff>
          <xdr:row>28</xdr:row>
          <xdr:rowOff>838200</xdr:rowOff>
        </xdr:to>
        <xdr:sp macro="" textlink="">
          <xdr:nvSpPr>
            <xdr:cNvPr id="3225" name="OB11q07" hidden="1">
              <a:extLst>
                <a:ext uri="{63B3BB69-23CF-44E3-9099-C40C66FF867C}">
                  <a14:compatExt spid="_x0000_s3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28</xdr:row>
          <xdr:rowOff>47625</xdr:rowOff>
        </xdr:from>
        <xdr:to>
          <xdr:col>10</xdr:col>
          <xdr:colOff>561975</xdr:colOff>
          <xdr:row>28</xdr:row>
          <xdr:rowOff>838200</xdr:rowOff>
        </xdr:to>
        <xdr:sp macro="" textlink="">
          <xdr:nvSpPr>
            <xdr:cNvPr id="3226" name="OB11q08" hidden="1">
              <a:extLst>
                <a:ext uri="{63B3BB69-23CF-44E3-9099-C40C66FF867C}">
                  <a14:compatExt spid="_x0000_s3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28</xdr:row>
          <xdr:rowOff>47625</xdr:rowOff>
        </xdr:from>
        <xdr:to>
          <xdr:col>2</xdr:col>
          <xdr:colOff>228600</xdr:colOff>
          <xdr:row>28</xdr:row>
          <xdr:rowOff>838200</xdr:rowOff>
        </xdr:to>
        <xdr:sp macro="" textlink="">
          <xdr:nvSpPr>
            <xdr:cNvPr id="3227" name="OB11" hidden="1">
              <a:extLst>
                <a:ext uri="{63B3BB69-23CF-44E3-9099-C40C66FF867C}">
                  <a14:compatExt spid="_x0000_s3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30</xdr:row>
          <xdr:rowOff>47625</xdr:rowOff>
        </xdr:from>
        <xdr:to>
          <xdr:col>3</xdr:col>
          <xdr:colOff>561975</xdr:colOff>
          <xdr:row>30</xdr:row>
          <xdr:rowOff>838200</xdr:rowOff>
        </xdr:to>
        <xdr:sp macro="" textlink="">
          <xdr:nvSpPr>
            <xdr:cNvPr id="3228" name="OB12q01" hidden="1">
              <a:extLst>
                <a:ext uri="{63B3BB69-23CF-44E3-9099-C40C66FF867C}">
                  <a14:compatExt spid="_x0000_s3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30</xdr:row>
          <xdr:rowOff>47625</xdr:rowOff>
        </xdr:from>
        <xdr:to>
          <xdr:col>4</xdr:col>
          <xdr:colOff>561975</xdr:colOff>
          <xdr:row>30</xdr:row>
          <xdr:rowOff>838200</xdr:rowOff>
        </xdr:to>
        <xdr:sp macro="" textlink="">
          <xdr:nvSpPr>
            <xdr:cNvPr id="3229" name="OB12q02" hidden="1">
              <a:extLst>
                <a:ext uri="{63B3BB69-23CF-44E3-9099-C40C66FF867C}">
                  <a14:compatExt spid="_x0000_s3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30</xdr:row>
          <xdr:rowOff>47625</xdr:rowOff>
        </xdr:from>
        <xdr:to>
          <xdr:col>5</xdr:col>
          <xdr:colOff>561975</xdr:colOff>
          <xdr:row>30</xdr:row>
          <xdr:rowOff>838200</xdr:rowOff>
        </xdr:to>
        <xdr:sp macro="" textlink="">
          <xdr:nvSpPr>
            <xdr:cNvPr id="3230" name="OB12q03" hidden="1">
              <a:extLst>
                <a:ext uri="{63B3BB69-23CF-44E3-9099-C40C66FF867C}">
                  <a14:compatExt spid="_x0000_s3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30</xdr:row>
          <xdr:rowOff>47625</xdr:rowOff>
        </xdr:from>
        <xdr:to>
          <xdr:col>6</xdr:col>
          <xdr:colOff>561975</xdr:colOff>
          <xdr:row>30</xdr:row>
          <xdr:rowOff>838200</xdr:rowOff>
        </xdr:to>
        <xdr:sp macro="" textlink="">
          <xdr:nvSpPr>
            <xdr:cNvPr id="3231" name="OB12q04" hidden="1">
              <a:extLst>
                <a:ext uri="{63B3BB69-23CF-44E3-9099-C40C66FF867C}">
                  <a14:compatExt spid="_x0000_s3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30</xdr:row>
          <xdr:rowOff>47625</xdr:rowOff>
        </xdr:from>
        <xdr:to>
          <xdr:col>7</xdr:col>
          <xdr:colOff>561975</xdr:colOff>
          <xdr:row>30</xdr:row>
          <xdr:rowOff>838200</xdr:rowOff>
        </xdr:to>
        <xdr:sp macro="" textlink="">
          <xdr:nvSpPr>
            <xdr:cNvPr id="3232" name="OB12q05" hidden="1">
              <a:extLst>
                <a:ext uri="{63B3BB69-23CF-44E3-9099-C40C66FF867C}">
                  <a14:compatExt spid="_x0000_s3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30</xdr:row>
          <xdr:rowOff>47625</xdr:rowOff>
        </xdr:from>
        <xdr:to>
          <xdr:col>8</xdr:col>
          <xdr:colOff>561975</xdr:colOff>
          <xdr:row>30</xdr:row>
          <xdr:rowOff>838200</xdr:rowOff>
        </xdr:to>
        <xdr:sp macro="" textlink="">
          <xdr:nvSpPr>
            <xdr:cNvPr id="3233" name="OB12q06" hidden="1">
              <a:extLst>
                <a:ext uri="{63B3BB69-23CF-44E3-9099-C40C66FF867C}">
                  <a14:compatExt spid="_x0000_s3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30</xdr:row>
          <xdr:rowOff>47625</xdr:rowOff>
        </xdr:from>
        <xdr:to>
          <xdr:col>9</xdr:col>
          <xdr:colOff>561975</xdr:colOff>
          <xdr:row>30</xdr:row>
          <xdr:rowOff>838200</xdr:rowOff>
        </xdr:to>
        <xdr:sp macro="" textlink="">
          <xdr:nvSpPr>
            <xdr:cNvPr id="3234" name="OB12q07" hidden="1">
              <a:extLst>
                <a:ext uri="{63B3BB69-23CF-44E3-9099-C40C66FF867C}">
                  <a14:compatExt spid="_x0000_s3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30</xdr:row>
          <xdr:rowOff>47625</xdr:rowOff>
        </xdr:from>
        <xdr:to>
          <xdr:col>10</xdr:col>
          <xdr:colOff>561975</xdr:colOff>
          <xdr:row>30</xdr:row>
          <xdr:rowOff>838200</xdr:rowOff>
        </xdr:to>
        <xdr:sp macro="" textlink="">
          <xdr:nvSpPr>
            <xdr:cNvPr id="3235" name="OB12q08" hidden="1">
              <a:extLst>
                <a:ext uri="{63B3BB69-23CF-44E3-9099-C40C66FF867C}">
                  <a14:compatExt spid="_x0000_s3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47625</xdr:rowOff>
        </xdr:from>
        <xdr:to>
          <xdr:col>2</xdr:col>
          <xdr:colOff>228600</xdr:colOff>
          <xdr:row>30</xdr:row>
          <xdr:rowOff>838200</xdr:rowOff>
        </xdr:to>
        <xdr:sp macro="" textlink="">
          <xdr:nvSpPr>
            <xdr:cNvPr id="3236" name="OB12" hidden="1">
              <a:extLst>
                <a:ext uri="{63B3BB69-23CF-44E3-9099-C40C66FF867C}">
                  <a14:compatExt spid="_x0000_s3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161925</xdr:rowOff>
        </xdr:from>
        <xdr:to>
          <xdr:col>1</xdr:col>
          <xdr:colOff>5476875</xdr:colOff>
          <xdr:row>7</xdr:row>
          <xdr:rowOff>276225</xdr:rowOff>
        </xdr:to>
        <xdr:sp macro="" textlink="">
          <xdr:nvSpPr>
            <xdr:cNvPr id="3242" name="RESET" hidden="1">
              <a:extLst>
                <a:ext uri="{63B3BB69-23CF-44E3-9099-C40C66FF867C}">
                  <a14:compatExt spid="_x0000_s3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xdr:row>
          <xdr:rowOff>0</xdr:rowOff>
        </xdr:from>
        <xdr:to>
          <xdr:col>13</xdr:col>
          <xdr:colOff>19050</xdr:colOff>
          <xdr:row>6</xdr:row>
          <xdr:rowOff>190500</xdr:rowOff>
        </xdr:to>
        <xdr:sp macro="" textlink="">
          <xdr:nvSpPr>
            <xdr:cNvPr id="3243" name="Send" hidden="1">
              <a:extLst>
                <a:ext uri="{63B3BB69-23CF-44E3-9099-C40C66FF867C}">
                  <a14:compatExt spid="_x0000_s324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186225</xdr:colOff>
      <xdr:row>29</xdr:row>
      <xdr:rowOff>150541</xdr:rowOff>
    </xdr:to>
    <xdr:grpSp>
      <xdr:nvGrpSpPr>
        <xdr:cNvPr id="2" name="Group 1"/>
        <xdr:cNvGrpSpPr/>
      </xdr:nvGrpSpPr>
      <xdr:grpSpPr>
        <a:xfrm>
          <a:off x="609600" y="190500"/>
          <a:ext cx="7501425" cy="5484541"/>
          <a:chOff x="815898" y="687659"/>
          <a:chExt cx="7501425" cy="5484541"/>
        </a:xfrm>
      </xdr:grpSpPr>
      <xdr:sp macro="" textlink="">
        <xdr:nvSpPr>
          <xdr:cNvPr id="3" name="Oval 2"/>
          <xdr:cNvSpPr>
            <a:spLocks noChangeAspect="1"/>
          </xdr:cNvSpPr>
        </xdr:nvSpPr>
        <xdr:spPr>
          <a:xfrm>
            <a:off x="3657600" y="2509026"/>
            <a:ext cx="1828800" cy="1828800"/>
          </a:xfrm>
          <a:prstGeom prst="ellipse">
            <a:avLst/>
          </a:prstGeom>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3200" b="1"/>
              <a:t>Team</a:t>
            </a:r>
          </a:p>
          <a:p>
            <a:pPr algn="ctr"/>
            <a:r>
              <a:rPr lang="en-US" sz="3200" b="1"/>
              <a:t>Player</a:t>
            </a:r>
          </a:p>
        </xdr:txBody>
      </xdr:sp>
      <xdr:sp macro="" textlink="">
        <xdr:nvSpPr>
          <xdr:cNvPr id="4" name="Rectangle 3"/>
          <xdr:cNvSpPr/>
        </xdr:nvSpPr>
        <xdr:spPr>
          <a:xfrm>
            <a:off x="6393366" y="5255942"/>
            <a:ext cx="1920240" cy="457200"/>
          </a:xfrm>
          <a:prstGeom prst="rect">
            <a:avLst/>
          </a:prstGeom>
          <a:solidFill>
            <a:schemeClr val="tx2">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b="1">
                <a:solidFill>
                  <a:schemeClr val="tx1"/>
                </a:solidFill>
              </a:rPr>
              <a:t>COLLABORATOR</a:t>
            </a:r>
          </a:p>
        </xdr:txBody>
      </xdr:sp>
      <xdr:sp macro="" textlink="">
        <xdr:nvSpPr>
          <xdr:cNvPr id="5" name="Rectangle 4"/>
          <xdr:cNvSpPr/>
        </xdr:nvSpPr>
        <xdr:spPr>
          <a:xfrm>
            <a:off x="6393366" y="5715000"/>
            <a:ext cx="1920240" cy="457200"/>
          </a:xfrm>
          <a:prstGeom prst="rect">
            <a:avLst/>
          </a:prstGeom>
          <a:solidFill>
            <a:schemeClr val="accent1">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400" b="1">
                <a:solidFill>
                  <a:schemeClr val="tx1"/>
                </a:solidFill>
              </a:rPr>
              <a:t>Goal</a:t>
            </a:r>
          </a:p>
        </xdr:txBody>
      </xdr:sp>
      <xdr:sp macro="" textlink="">
        <xdr:nvSpPr>
          <xdr:cNvPr id="6" name="Rectangle 5"/>
          <xdr:cNvSpPr/>
        </xdr:nvSpPr>
        <xdr:spPr>
          <a:xfrm>
            <a:off x="6397083" y="687659"/>
            <a:ext cx="1920240" cy="457200"/>
          </a:xfrm>
          <a:prstGeom prst="rect">
            <a:avLst/>
          </a:prstGeom>
          <a:solidFill>
            <a:schemeClr val="tx2">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b="1">
                <a:solidFill>
                  <a:schemeClr val="tx1"/>
                </a:solidFill>
              </a:rPr>
              <a:t>CONTRIBUTOR</a:t>
            </a:r>
          </a:p>
        </xdr:txBody>
      </xdr:sp>
      <xdr:sp macro="" textlink="">
        <xdr:nvSpPr>
          <xdr:cNvPr id="7" name="Rectangle 6"/>
          <xdr:cNvSpPr/>
        </xdr:nvSpPr>
        <xdr:spPr>
          <a:xfrm>
            <a:off x="6397083" y="1146717"/>
            <a:ext cx="1920240" cy="457200"/>
          </a:xfrm>
          <a:prstGeom prst="rect">
            <a:avLst/>
          </a:prstGeom>
          <a:solidFill>
            <a:schemeClr val="accent1">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400" b="1">
                <a:solidFill>
                  <a:schemeClr val="tx1"/>
                </a:solidFill>
              </a:rPr>
              <a:t>Task</a:t>
            </a:r>
          </a:p>
        </xdr:txBody>
      </xdr:sp>
      <xdr:sp macro="" textlink="">
        <xdr:nvSpPr>
          <xdr:cNvPr id="8" name="Rectangle 7"/>
          <xdr:cNvSpPr/>
        </xdr:nvSpPr>
        <xdr:spPr>
          <a:xfrm>
            <a:off x="819615" y="689517"/>
            <a:ext cx="1920240" cy="457200"/>
          </a:xfrm>
          <a:prstGeom prst="rect">
            <a:avLst/>
          </a:prstGeom>
          <a:solidFill>
            <a:schemeClr val="tx2">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b="1">
                <a:solidFill>
                  <a:schemeClr val="tx1"/>
                </a:solidFill>
              </a:rPr>
              <a:t>CHALLENGER</a:t>
            </a:r>
          </a:p>
        </xdr:txBody>
      </xdr:sp>
      <xdr:sp macro="" textlink="">
        <xdr:nvSpPr>
          <xdr:cNvPr id="9" name="Rectangle 8"/>
          <xdr:cNvSpPr/>
        </xdr:nvSpPr>
        <xdr:spPr>
          <a:xfrm>
            <a:off x="819615" y="1137424"/>
            <a:ext cx="1920240" cy="457200"/>
          </a:xfrm>
          <a:prstGeom prst="rect">
            <a:avLst/>
          </a:prstGeom>
          <a:solidFill>
            <a:schemeClr val="accent1">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400" b="1">
                <a:solidFill>
                  <a:schemeClr val="tx1"/>
                </a:solidFill>
              </a:rPr>
              <a:t>Question</a:t>
            </a:r>
          </a:p>
        </xdr:txBody>
      </xdr:sp>
      <xdr:sp macro="" textlink="">
        <xdr:nvSpPr>
          <xdr:cNvPr id="10" name="Rectangle 9"/>
          <xdr:cNvSpPr/>
        </xdr:nvSpPr>
        <xdr:spPr>
          <a:xfrm>
            <a:off x="815898" y="5255942"/>
            <a:ext cx="1920240" cy="457200"/>
          </a:xfrm>
          <a:prstGeom prst="rect">
            <a:avLst/>
          </a:prstGeom>
          <a:solidFill>
            <a:schemeClr val="tx2">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b="1">
                <a:solidFill>
                  <a:schemeClr val="tx1"/>
                </a:solidFill>
              </a:rPr>
              <a:t>COMMUNICATOR</a:t>
            </a:r>
          </a:p>
        </xdr:txBody>
      </xdr:sp>
      <xdr:sp macro="" textlink="">
        <xdr:nvSpPr>
          <xdr:cNvPr id="11" name="Rectangle 10"/>
          <xdr:cNvSpPr/>
        </xdr:nvSpPr>
        <xdr:spPr>
          <a:xfrm>
            <a:off x="815898" y="5715000"/>
            <a:ext cx="1920240" cy="457200"/>
          </a:xfrm>
          <a:prstGeom prst="rect">
            <a:avLst/>
          </a:prstGeom>
          <a:solidFill>
            <a:schemeClr val="tx2">
              <a:lumMod val="20000"/>
              <a:lumOff val="8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400" b="1">
                <a:solidFill>
                  <a:schemeClr val="tx1"/>
                </a:solidFill>
              </a:rPr>
              <a:t>Process</a:t>
            </a:r>
          </a:p>
        </xdr:txBody>
      </xdr:sp>
      <xdr:sp macro="" textlink="">
        <xdr:nvSpPr>
          <xdr:cNvPr id="12" name="Down Arrow 11"/>
          <xdr:cNvSpPr/>
        </xdr:nvSpPr>
        <xdr:spPr>
          <a:xfrm rot="18960301">
            <a:off x="3159453" y="1502346"/>
            <a:ext cx="228600" cy="1289826"/>
          </a:xfrm>
          <a:prstGeom prst="downArrow">
            <a:avLst/>
          </a:prstGeom>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3" name="Down Arrow 12"/>
          <xdr:cNvSpPr/>
        </xdr:nvSpPr>
        <xdr:spPr>
          <a:xfrm rot="2635407">
            <a:off x="5721470" y="1507627"/>
            <a:ext cx="228600" cy="1289826"/>
          </a:xfrm>
          <a:prstGeom prst="downArrow">
            <a:avLst/>
          </a:prstGeom>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4" name="Down Arrow 13"/>
          <xdr:cNvSpPr/>
        </xdr:nvSpPr>
        <xdr:spPr>
          <a:xfrm rot="13399620">
            <a:off x="3151217" y="4093657"/>
            <a:ext cx="228600" cy="1289826"/>
          </a:xfrm>
          <a:prstGeom prst="downArrow">
            <a:avLst/>
          </a:prstGeom>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 name="Down Arrow 14"/>
          <xdr:cNvSpPr/>
        </xdr:nvSpPr>
        <xdr:spPr>
          <a:xfrm rot="8149989">
            <a:off x="5717998" y="4068785"/>
            <a:ext cx="228600" cy="1289826"/>
          </a:xfrm>
          <a:prstGeom prst="downArrow">
            <a:avLst/>
          </a:prstGeom>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hyperlink" Target="mailto:bucinelr@union.edu" TargetMode="External"/><Relationship Id="rId16" Type="http://schemas.openxmlformats.org/officeDocument/2006/relationships/image" Target="../media/image6.emf"/><Relationship Id="rId1" Type="http://schemas.openxmlformats.org/officeDocument/2006/relationships/hyperlink" Target="mailto:bucinelr@union.edu"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64.xml"/><Relationship Id="rId21" Type="http://schemas.openxmlformats.org/officeDocument/2006/relationships/control" Target="../activeX/activeX16.xml"/><Relationship Id="rId42" Type="http://schemas.openxmlformats.org/officeDocument/2006/relationships/image" Target="../media/image27.emf"/><Relationship Id="rId63" Type="http://schemas.openxmlformats.org/officeDocument/2006/relationships/control" Target="../activeX/activeX37.xml"/><Relationship Id="rId84" Type="http://schemas.openxmlformats.org/officeDocument/2006/relationships/image" Target="../media/image48.emf"/><Relationship Id="rId138" Type="http://schemas.openxmlformats.org/officeDocument/2006/relationships/image" Target="../media/image75.emf"/><Relationship Id="rId159" Type="http://schemas.openxmlformats.org/officeDocument/2006/relationships/control" Target="../activeX/activeX85.xml"/><Relationship Id="rId170" Type="http://schemas.openxmlformats.org/officeDocument/2006/relationships/image" Target="../media/image91.emf"/><Relationship Id="rId191" Type="http://schemas.openxmlformats.org/officeDocument/2006/relationships/control" Target="../activeX/activeX101.xml"/><Relationship Id="rId205" Type="http://schemas.openxmlformats.org/officeDocument/2006/relationships/control" Target="../activeX/activeX108.xml"/><Relationship Id="rId107" Type="http://schemas.openxmlformats.org/officeDocument/2006/relationships/control" Target="../activeX/activeX59.xml"/><Relationship Id="rId11" Type="http://schemas.openxmlformats.org/officeDocument/2006/relationships/control" Target="../activeX/activeX11.xml"/><Relationship Id="rId32" Type="http://schemas.openxmlformats.org/officeDocument/2006/relationships/image" Target="../media/image22.emf"/><Relationship Id="rId53" Type="http://schemas.openxmlformats.org/officeDocument/2006/relationships/control" Target="../activeX/activeX32.xml"/><Relationship Id="rId74" Type="http://schemas.openxmlformats.org/officeDocument/2006/relationships/image" Target="../media/image43.emf"/><Relationship Id="rId128" Type="http://schemas.openxmlformats.org/officeDocument/2006/relationships/image" Target="../media/image70.emf"/><Relationship Id="rId149" Type="http://schemas.openxmlformats.org/officeDocument/2006/relationships/control" Target="../activeX/activeX80.xml"/><Relationship Id="rId5" Type="http://schemas.openxmlformats.org/officeDocument/2006/relationships/control" Target="../activeX/activeX8.xml"/><Relationship Id="rId95" Type="http://schemas.openxmlformats.org/officeDocument/2006/relationships/control" Target="../activeX/activeX53.xml"/><Relationship Id="rId160" Type="http://schemas.openxmlformats.org/officeDocument/2006/relationships/image" Target="../media/image86.emf"/><Relationship Id="rId181" Type="http://schemas.openxmlformats.org/officeDocument/2006/relationships/control" Target="../activeX/activeX96.xml"/><Relationship Id="rId216" Type="http://schemas.openxmlformats.org/officeDocument/2006/relationships/image" Target="../media/image114.emf"/><Relationship Id="rId211" Type="http://schemas.openxmlformats.org/officeDocument/2006/relationships/control" Target="../activeX/activeX111.xml"/><Relationship Id="rId22" Type="http://schemas.openxmlformats.org/officeDocument/2006/relationships/image" Target="../media/image17.emf"/><Relationship Id="rId27" Type="http://schemas.openxmlformats.org/officeDocument/2006/relationships/control" Target="../activeX/activeX19.xml"/><Relationship Id="rId43" Type="http://schemas.openxmlformats.org/officeDocument/2006/relationships/control" Target="../activeX/activeX27.xml"/><Relationship Id="rId48" Type="http://schemas.openxmlformats.org/officeDocument/2006/relationships/image" Target="../media/image30.emf"/><Relationship Id="rId64" Type="http://schemas.openxmlformats.org/officeDocument/2006/relationships/image" Target="../media/image38.emf"/><Relationship Id="rId69" Type="http://schemas.openxmlformats.org/officeDocument/2006/relationships/control" Target="../activeX/activeX40.xml"/><Relationship Id="rId113" Type="http://schemas.openxmlformats.org/officeDocument/2006/relationships/control" Target="../activeX/activeX62.xml"/><Relationship Id="rId118" Type="http://schemas.openxmlformats.org/officeDocument/2006/relationships/image" Target="../media/image65.emf"/><Relationship Id="rId134" Type="http://schemas.openxmlformats.org/officeDocument/2006/relationships/image" Target="../media/image73.emf"/><Relationship Id="rId139" Type="http://schemas.openxmlformats.org/officeDocument/2006/relationships/control" Target="../activeX/activeX75.xml"/><Relationship Id="rId80" Type="http://schemas.openxmlformats.org/officeDocument/2006/relationships/image" Target="../media/image46.emf"/><Relationship Id="rId85" Type="http://schemas.openxmlformats.org/officeDocument/2006/relationships/control" Target="../activeX/activeX48.xml"/><Relationship Id="rId150" Type="http://schemas.openxmlformats.org/officeDocument/2006/relationships/image" Target="../media/image81.emf"/><Relationship Id="rId155" Type="http://schemas.openxmlformats.org/officeDocument/2006/relationships/control" Target="../activeX/activeX83.xml"/><Relationship Id="rId171" Type="http://schemas.openxmlformats.org/officeDocument/2006/relationships/control" Target="../activeX/activeX91.xml"/><Relationship Id="rId176" Type="http://schemas.openxmlformats.org/officeDocument/2006/relationships/image" Target="../media/image94.emf"/><Relationship Id="rId192" Type="http://schemas.openxmlformats.org/officeDocument/2006/relationships/image" Target="../media/image102.emf"/><Relationship Id="rId197" Type="http://schemas.openxmlformats.org/officeDocument/2006/relationships/control" Target="../activeX/activeX104.xml"/><Relationship Id="rId206" Type="http://schemas.openxmlformats.org/officeDocument/2006/relationships/image" Target="../media/image109.emf"/><Relationship Id="rId201" Type="http://schemas.openxmlformats.org/officeDocument/2006/relationships/control" Target="../activeX/activeX106.xml"/><Relationship Id="rId222" Type="http://schemas.openxmlformats.org/officeDocument/2006/relationships/image" Target="../media/image117.emf"/><Relationship Id="rId12" Type="http://schemas.openxmlformats.org/officeDocument/2006/relationships/image" Target="../media/image12.emf"/><Relationship Id="rId17" Type="http://schemas.openxmlformats.org/officeDocument/2006/relationships/control" Target="../activeX/activeX14.xml"/><Relationship Id="rId33" Type="http://schemas.openxmlformats.org/officeDocument/2006/relationships/control" Target="../activeX/activeX22.xml"/><Relationship Id="rId38" Type="http://schemas.openxmlformats.org/officeDocument/2006/relationships/image" Target="../media/image25.emf"/><Relationship Id="rId59" Type="http://schemas.openxmlformats.org/officeDocument/2006/relationships/control" Target="../activeX/activeX35.xml"/><Relationship Id="rId103" Type="http://schemas.openxmlformats.org/officeDocument/2006/relationships/control" Target="../activeX/activeX57.xml"/><Relationship Id="rId108" Type="http://schemas.openxmlformats.org/officeDocument/2006/relationships/image" Target="../media/image60.emf"/><Relationship Id="rId124" Type="http://schemas.openxmlformats.org/officeDocument/2006/relationships/image" Target="../media/image68.emf"/><Relationship Id="rId129" Type="http://schemas.openxmlformats.org/officeDocument/2006/relationships/control" Target="../activeX/activeX70.xml"/><Relationship Id="rId54" Type="http://schemas.openxmlformats.org/officeDocument/2006/relationships/image" Target="../media/image33.emf"/><Relationship Id="rId70" Type="http://schemas.openxmlformats.org/officeDocument/2006/relationships/image" Target="../media/image41.emf"/><Relationship Id="rId75" Type="http://schemas.openxmlformats.org/officeDocument/2006/relationships/control" Target="../activeX/activeX43.xml"/><Relationship Id="rId91" Type="http://schemas.openxmlformats.org/officeDocument/2006/relationships/control" Target="../activeX/activeX51.xml"/><Relationship Id="rId96" Type="http://schemas.openxmlformats.org/officeDocument/2006/relationships/image" Target="../media/image54.emf"/><Relationship Id="rId140" Type="http://schemas.openxmlformats.org/officeDocument/2006/relationships/image" Target="../media/image76.emf"/><Relationship Id="rId145" Type="http://schemas.openxmlformats.org/officeDocument/2006/relationships/control" Target="../activeX/activeX78.xml"/><Relationship Id="rId161" Type="http://schemas.openxmlformats.org/officeDocument/2006/relationships/control" Target="../activeX/activeX86.xml"/><Relationship Id="rId166" Type="http://schemas.openxmlformats.org/officeDocument/2006/relationships/image" Target="../media/image89.emf"/><Relationship Id="rId182" Type="http://schemas.openxmlformats.org/officeDocument/2006/relationships/image" Target="../media/image97.emf"/><Relationship Id="rId187" Type="http://schemas.openxmlformats.org/officeDocument/2006/relationships/control" Target="../activeX/activeX99.xml"/><Relationship Id="rId217" Type="http://schemas.openxmlformats.org/officeDocument/2006/relationships/control" Target="../activeX/activeX114.xml"/><Relationship Id="rId1" Type="http://schemas.openxmlformats.org/officeDocument/2006/relationships/hyperlink" Target="mailto:bucinelr@union.edu" TargetMode="External"/><Relationship Id="rId6" Type="http://schemas.openxmlformats.org/officeDocument/2006/relationships/image" Target="../media/image9.emf"/><Relationship Id="rId212" Type="http://schemas.openxmlformats.org/officeDocument/2006/relationships/image" Target="../media/image112.emf"/><Relationship Id="rId23" Type="http://schemas.openxmlformats.org/officeDocument/2006/relationships/control" Target="../activeX/activeX17.xml"/><Relationship Id="rId28" Type="http://schemas.openxmlformats.org/officeDocument/2006/relationships/image" Target="../media/image20.emf"/><Relationship Id="rId49" Type="http://schemas.openxmlformats.org/officeDocument/2006/relationships/control" Target="../activeX/activeX30.xml"/><Relationship Id="rId114" Type="http://schemas.openxmlformats.org/officeDocument/2006/relationships/image" Target="../media/image63.emf"/><Relationship Id="rId119" Type="http://schemas.openxmlformats.org/officeDocument/2006/relationships/control" Target="../activeX/activeX65.xml"/><Relationship Id="rId44" Type="http://schemas.openxmlformats.org/officeDocument/2006/relationships/image" Target="../media/image28.emf"/><Relationship Id="rId60" Type="http://schemas.openxmlformats.org/officeDocument/2006/relationships/image" Target="../media/image36.emf"/><Relationship Id="rId65" Type="http://schemas.openxmlformats.org/officeDocument/2006/relationships/control" Target="../activeX/activeX38.xml"/><Relationship Id="rId81" Type="http://schemas.openxmlformats.org/officeDocument/2006/relationships/control" Target="../activeX/activeX46.xml"/><Relationship Id="rId86" Type="http://schemas.openxmlformats.org/officeDocument/2006/relationships/image" Target="../media/image49.emf"/><Relationship Id="rId130" Type="http://schemas.openxmlformats.org/officeDocument/2006/relationships/image" Target="../media/image71.emf"/><Relationship Id="rId135" Type="http://schemas.openxmlformats.org/officeDocument/2006/relationships/control" Target="../activeX/activeX73.xml"/><Relationship Id="rId151" Type="http://schemas.openxmlformats.org/officeDocument/2006/relationships/control" Target="../activeX/activeX81.xml"/><Relationship Id="rId156" Type="http://schemas.openxmlformats.org/officeDocument/2006/relationships/image" Target="../media/image84.emf"/><Relationship Id="rId177" Type="http://schemas.openxmlformats.org/officeDocument/2006/relationships/control" Target="../activeX/activeX94.xml"/><Relationship Id="rId198" Type="http://schemas.openxmlformats.org/officeDocument/2006/relationships/image" Target="../media/image105.emf"/><Relationship Id="rId172" Type="http://schemas.openxmlformats.org/officeDocument/2006/relationships/image" Target="../media/image92.emf"/><Relationship Id="rId193" Type="http://schemas.openxmlformats.org/officeDocument/2006/relationships/control" Target="../activeX/activeX102.xml"/><Relationship Id="rId202" Type="http://schemas.openxmlformats.org/officeDocument/2006/relationships/image" Target="../media/image107.emf"/><Relationship Id="rId207" Type="http://schemas.openxmlformats.org/officeDocument/2006/relationships/control" Target="../activeX/activeX109.xml"/><Relationship Id="rId223" Type="http://schemas.openxmlformats.org/officeDocument/2006/relationships/control" Target="../activeX/activeX117.xml"/><Relationship Id="rId13" Type="http://schemas.openxmlformats.org/officeDocument/2006/relationships/control" Target="../activeX/activeX12.xml"/><Relationship Id="rId18" Type="http://schemas.openxmlformats.org/officeDocument/2006/relationships/image" Target="../media/image15.emf"/><Relationship Id="rId39" Type="http://schemas.openxmlformats.org/officeDocument/2006/relationships/control" Target="../activeX/activeX25.xml"/><Relationship Id="rId109" Type="http://schemas.openxmlformats.org/officeDocument/2006/relationships/control" Target="../activeX/activeX60.xml"/><Relationship Id="rId34" Type="http://schemas.openxmlformats.org/officeDocument/2006/relationships/image" Target="../media/image23.emf"/><Relationship Id="rId50" Type="http://schemas.openxmlformats.org/officeDocument/2006/relationships/image" Target="../media/image31.emf"/><Relationship Id="rId55" Type="http://schemas.openxmlformats.org/officeDocument/2006/relationships/control" Target="../activeX/activeX33.xml"/><Relationship Id="rId76" Type="http://schemas.openxmlformats.org/officeDocument/2006/relationships/image" Target="../media/image44.emf"/><Relationship Id="rId97" Type="http://schemas.openxmlformats.org/officeDocument/2006/relationships/control" Target="../activeX/activeX54.xml"/><Relationship Id="rId104" Type="http://schemas.openxmlformats.org/officeDocument/2006/relationships/image" Target="../media/image58.emf"/><Relationship Id="rId120" Type="http://schemas.openxmlformats.org/officeDocument/2006/relationships/image" Target="../media/image66.emf"/><Relationship Id="rId125" Type="http://schemas.openxmlformats.org/officeDocument/2006/relationships/control" Target="../activeX/activeX68.xml"/><Relationship Id="rId141" Type="http://schemas.openxmlformats.org/officeDocument/2006/relationships/control" Target="../activeX/activeX76.xml"/><Relationship Id="rId146" Type="http://schemas.openxmlformats.org/officeDocument/2006/relationships/image" Target="../media/image79.emf"/><Relationship Id="rId167" Type="http://schemas.openxmlformats.org/officeDocument/2006/relationships/control" Target="../activeX/activeX89.xml"/><Relationship Id="rId188" Type="http://schemas.openxmlformats.org/officeDocument/2006/relationships/image" Target="../media/image100.emf"/><Relationship Id="rId7" Type="http://schemas.openxmlformats.org/officeDocument/2006/relationships/control" Target="../activeX/activeX9.xml"/><Relationship Id="rId71" Type="http://schemas.openxmlformats.org/officeDocument/2006/relationships/control" Target="../activeX/activeX41.xml"/><Relationship Id="rId92" Type="http://schemas.openxmlformats.org/officeDocument/2006/relationships/image" Target="../media/image52.emf"/><Relationship Id="rId162" Type="http://schemas.openxmlformats.org/officeDocument/2006/relationships/image" Target="../media/image87.emf"/><Relationship Id="rId183" Type="http://schemas.openxmlformats.org/officeDocument/2006/relationships/control" Target="../activeX/activeX97.xml"/><Relationship Id="rId213" Type="http://schemas.openxmlformats.org/officeDocument/2006/relationships/control" Target="../activeX/activeX112.xml"/><Relationship Id="rId218" Type="http://schemas.openxmlformats.org/officeDocument/2006/relationships/image" Target="../media/image115.emf"/><Relationship Id="rId2" Type="http://schemas.openxmlformats.org/officeDocument/2006/relationships/hyperlink" Target="mailto:bucinelr@union.edu" TargetMode="External"/><Relationship Id="rId29" Type="http://schemas.openxmlformats.org/officeDocument/2006/relationships/control" Target="../activeX/activeX20.xml"/><Relationship Id="rId24" Type="http://schemas.openxmlformats.org/officeDocument/2006/relationships/image" Target="../media/image18.emf"/><Relationship Id="rId40" Type="http://schemas.openxmlformats.org/officeDocument/2006/relationships/image" Target="../media/image26.emf"/><Relationship Id="rId45" Type="http://schemas.openxmlformats.org/officeDocument/2006/relationships/control" Target="../activeX/activeX28.xml"/><Relationship Id="rId66" Type="http://schemas.openxmlformats.org/officeDocument/2006/relationships/image" Target="../media/image39.emf"/><Relationship Id="rId87" Type="http://schemas.openxmlformats.org/officeDocument/2006/relationships/control" Target="../activeX/activeX49.xml"/><Relationship Id="rId110" Type="http://schemas.openxmlformats.org/officeDocument/2006/relationships/image" Target="../media/image61.emf"/><Relationship Id="rId115" Type="http://schemas.openxmlformats.org/officeDocument/2006/relationships/control" Target="../activeX/activeX63.xml"/><Relationship Id="rId131" Type="http://schemas.openxmlformats.org/officeDocument/2006/relationships/control" Target="../activeX/activeX71.xml"/><Relationship Id="rId136" Type="http://schemas.openxmlformats.org/officeDocument/2006/relationships/image" Target="../media/image74.emf"/><Relationship Id="rId157" Type="http://schemas.openxmlformats.org/officeDocument/2006/relationships/control" Target="../activeX/activeX84.xml"/><Relationship Id="rId178" Type="http://schemas.openxmlformats.org/officeDocument/2006/relationships/image" Target="../media/image95.emf"/><Relationship Id="rId61" Type="http://schemas.openxmlformats.org/officeDocument/2006/relationships/control" Target="../activeX/activeX36.xml"/><Relationship Id="rId82" Type="http://schemas.openxmlformats.org/officeDocument/2006/relationships/image" Target="../media/image47.emf"/><Relationship Id="rId152" Type="http://schemas.openxmlformats.org/officeDocument/2006/relationships/image" Target="../media/image82.emf"/><Relationship Id="rId173" Type="http://schemas.openxmlformats.org/officeDocument/2006/relationships/control" Target="../activeX/activeX92.xml"/><Relationship Id="rId194" Type="http://schemas.openxmlformats.org/officeDocument/2006/relationships/image" Target="../media/image103.emf"/><Relationship Id="rId199" Type="http://schemas.openxmlformats.org/officeDocument/2006/relationships/control" Target="../activeX/activeX105.xml"/><Relationship Id="rId203" Type="http://schemas.openxmlformats.org/officeDocument/2006/relationships/control" Target="../activeX/activeX107.xml"/><Relationship Id="rId208" Type="http://schemas.openxmlformats.org/officeDocument/2006/relationships/image" Target="../media/image110.emf"/><Relationship Id="rId19" Type="http://schemas.openxmlformats.org/officeDocument/2006/relationships/control" Target="../activeX/activeX15.xml"/><Relationship Id="rId224" Type="http://schemas.openxmlformats.org/officeDocument/2006/relationships/image" Target="../media/image118.emf"/><Relationship Id="rId14" Type="http://schemas.openxmlformats.org/officeDocument/2006/relationships/image" Target="../media/image13.emf"/><Relationship Id="rId30" Type="http://schemas.openxmlformats.org/officeDocument/2006/relationships/image" Target="../media/image21.emf"/><Relationship Id="rId35" Type="http://schemas.openxmlformats.org/officeDocument/2006/relationships/control" Target="../activeX/activeX23.xml"/><Relationship Id="rId56" Type="http://schemas.openxmlformats.org/officeDocument/2006/relationships/image" Target="../media/image34.emf"/><Relationship Id="rId77" Type="http://schemas.openxmlformats.org/officeDocument/2006/relationships/control" Target="../activeX/activeX44.xml"/><Relationship Id="rId100" Type="http://schemas.openxmlformats.org/officeDocument/2006/relationships/image" Target="../media/image56.emf"/><Relationship Id="rId105" Type="http://schemas.openxmlformats.org/officeDocument/2006/relationships/control" Target="../activeX/activeX58.xml"/><Relationship Id="rId126" Type="http://schemas.openxmlformats.org/officeDocument/2006/relationships/image" Target="../media/image69.emf"/><Relationship Id="rId147" Type="http://schemas.openxmlformats.org/officeDocument/2006/relationships/control" Target="../activeX/activeX79.xml"/><Relationship Id="rId168" Type="http://schemas.openxmlformats.org/officeDocument/2006/relationships/image" Target="../media/image90.emf"/><Relationship Id="rId8" Type="http://schemas.openxmlformats.org/officeDocument/2006/relationships/image" Target="../media/image10.emf"/><Relationship Id="rId51" Type="http://schemas.openxmlformats.org/officeDocument/2006/relationships/control" Target="../activeX/activeX31.xml"/><Relationship Id="rId72" Type="http://schemas.openxmlformats.org/officeDocument/2006/relationships/image" Target="../media/image42.emf"/><Relationship Id="rId93" Type="http://schemas.openxmlformats.org/officeDocument/2006/relationships/control" Target="../activeX/activeX52.xml"/><Relationship Id="rId98" Type="http://schemas.openxmlformats.org/officeDocument/2006/relationships/image" Target="../media/image55.emf"/><Relationship Id="rId121" Type="http://schemas.openxmlformats.org/officeDocument/2006/relationships/control" Target="../activeX/activeX66.xml"/><Relationship Id="rId142" Type="http://schemas.openxmlformats.org/officeDocument/2006/relationships/image" Target="../media/image77.emf"/><Relationship Id="rId163" Type="http://schemas.openxmlformats.org/officeDocument/2006/relationships/control" Target="../activeX/activeX87.xml"/><Relationship Id="rId184" Type="http://schemas.openxmlformats.org/officeDocument/2006/relationships/image" Target="../media/image98.emf"/><Relationship Id="rId189" Type="http://schemas.openxmlformats.org/officeDocument/2006/relationships/control" Target="../activeX/activeX100.xml"/><Relationship Id="rId219" Type="http://schemas.openxmlformats.org/officeDocument/2006/relationships/control" Target="../activeX/activeX115.xml"/><Relationship Id="rId3" Type="http://schemas.openxmlformats.org/officeDocument/2006/relationships/drawing" Target="../drawings/drawing2.xml"/><Relationship Id="rId214" Type="http://schemas.openxmlformats.org/officeDocument/2006/relationships/image" Target="../media/image113.emf"/><Relationship Id="rId25" Type="http://schemas.openxmlformats.org/officeDocument/2006/relationships/control" Target="../activeX/activeX18.xml"/><Relationship Id="rId46" Type="http://schemas.openxmlformats.org/officeDocument/2006/relationships/image" Target="../media/image29.emf"/><Relationship Id="rId67" Type="http://schemas.openxmlformats.org/officeDocument/2006/relationships/control" Target="../activeX/activeX39.xml"/><Relationship Id="rId116" Type="http://schemas.openxmlformats.org/officeDocument/2006/relationships/image" Target="../media/image64.emf"/><Relationship Id="rId137" Type="http://schemas.openxmlformats.org/officeDocument/2006/relationships/control" Target="../activeX/activeX74.xml"/><Relationship Id="rId158" Type="http://schemas.openxmlformats.org/officeDocument/2006/relationships/image" Target="../media/image85.emf"/><Relationship Id="rId20" Type="http://schemas.openxmlformats.org/officeDocument/2006/relationships/image" Target="../media/image16.emf"/><Relationship Id="rId41" Type="http://schemas.openxmlformats.org/officeDocument/2006/relationships/control" Target="../activeX/activeX26.xml"/><Relationship Id="rId62" Type="http://schemas.openxmlformats.org/officeDocument/2006/relationships/image" Target="../media/image37.emf"/><Relationship Id="rId83" Type="http://schemas.openxmlformats.org/officeDocument/2006/relationships/control" Target="../activeX/activeX47.xml"/><Relationship Id="rId88" Type="http://schemas.openxmlformats.org/officeDocument/2006/relationships/image" Target="../media/image50.emf"/><Relationship Id="rId111" Type="http://schemas.openxmlformats.org/officeDocument/2006/relationships/control" Target="../activeX/activeX61.xml"/><Relationship Id="rId132" Type="http://schemas.openxmlformats.org/officeDocument/2006/relationships/image" Target="../media/image72.emf"/><Relationship Id="rId153" Type="http://schemas.openxmlformats.org/officeDocument/2006/relationships/control" Target="../activeX/activeX82.xml"/><Relationship Id="rId174" Type="http://schemas.openxmlformats.org/officeDocument/2006/relationships/image" Target="../media/image93.emf"/><Relationship Id="rId179" Type="http://schemas.openxmlformats.org/officeDocument/2006/relationships/control" Target="../activeX/activeX95.xml"/><Relationship Id="rId195" Type="http://schemas.openxmlformats.org/officeDocument/2006/relationships/control" Target="../activeX/activeX103.xml"/><Relationship Id="rId209" Type="http://schemas.openxmlformats.org/officeDocument/2006/relationships/control" Target="../activeX/activeX110.xml"/><Relationship Id="rId190" Type="http://schemas.openxmlformats.org/officeDocument/2006/relationships/image" Target="../media/image101.emf"/><Relationship Id="rId204" Type="http://schemas.openxmlformats.org/officeDocument/2006/relationships/image" Target="../media/image108.emf"/><Relationship Id="rId220" Type="http://schemas.openxmlformats.org/officeDocument/2006/relationships/image" Target="../media/image116.emf"/><Relationship Id="rId15" Type="http://schemas.openxmlformats.org/officeDocument/2006/relationships/control" Target="../activeX/activeX13.xml"/><Relationship Id="rId36" Type="http://schemas.openxmlformats.org/officeDocument/2006/relationships/image" Target="../media/image24.emf"/><Relationship Id="rId57" Type="http://schemas.openxmlformats.org/officeDocument/2006/relationships/control" Target="../activeX/activeX34.xml"/><Relationship Id="rId106" Type="http://schemas.openxmlformats.org/officeDocument/2006/relationships/image" Target="../media/image59.emf"/><Relationship Id="rId127" Type="http://schemas.openxmlformats.org/officeDocument/2006/relationships/control" Target="../activeX/activeX69.xml"/><Relationship Id="rId10" Type="http://schemas.openxmlformats.org/officeDocument/2006/relationships/image" Target="../media/image11.emf"/><Relationship Id="rId31" Type="http://schemas.openxmlformats.org/officeDocument/2006/relationships/control" Target="../activeX/activeX21.xml"/><Relationship Id="rId52" Type="http://schemas.openxmlformats.org/officeDocument/2006/relationships/image" Target="../media/image32.emf"/><Relationship Id="rId73" Type="http://schemas.openxmlformats.org/officeDocument/2006/relationships/control" Target="../activeX/activeX42.xml"/><Relationship Id="rId78" Type="http://schemas.openxmlformats.org/officeDocument/2006/relationships/image" Target="../media/image45.emf"/><Relationship Id="rId94" Type="http://schemas.openxmlformats.org/officeDocument/2006/relationships/image" Target="../media/image53.emf"/><Relationship Id="rId99" Type="http://schemas.openxmlformats.org/officeDocument/2006/relationships/control" Target="../activeX/activeX55.xml"/><Relationship Id="rId101" Type="http://schemas.openxmlformats.org/officeDocument/2006/relationships/control" Target="../activeX/activeX56.xml"/><Relationship Id="rId122" Type="http://schemas.openxmlformats.org/officeDocument/2006/relationships/image" Target="../media/image67.emf"/><Relationship Id="rId143" Type="http://schemas.openxmlformats.org/officeDocument/2006/relationships/control" Target="../activeX/activeX77.xml"/><Relationship Id="rId148" Type="http://schemas.openxmlformats.org/officeDocument/2006/relationships/image" Target="../media/image80.emf"/><Relationship Id="rId164" Type="http://schemas.openxmlformats.org/officeDocument/2006/relationships/image" Target="../media/image88.emf"/><Relationship Id="rId169" Type="http://schemas.openxmlformats.org/officeDocument/2006/relationships/control" Target="../activeX/activeX90.xml"/><Relationship Id="rId185" Type="http://schemas.openxmlformats.org/officeDocument/2006/relationships/control" Target="../activeX/activeX98.xml"/><Relationship Id="rId4" Type="http://schemas.openxmlformats.org/officeDocument/2006/relationships/vmlDrawing" Target="../drawings/vmlDrawing2.vml"/><Relationship Id="rId9" Type="http://schemas.openxmlformats.org/officeDocument/2006/relationships/control" Target="../activeX/activeX10.xml"/><Relationship Id="rId180" Type="http://schemas.openxmlformats.org/officeDocument/2006/relationships/image" Target="../media/image96.emf"/><Relationship Id="rId210" Type="http://schemas.openxmlformats.org/officeDocument/2006/relationships/image" Target="../media/image111.emf"/><Relationship Id="rId215" Type="http://schemas.openxmlformats.org/officeDocument/2006/relationships/control" Target="../activeX/activeX113.xml"/><Relationship Id="rId26" Type="http://schemas.openxmlformats.org/officeDocument/2006/relationships/image" Target="../media/image19.emf"/><Relationship Id="rId47" Type="http://schemas.openxmlformats.org/officeDocument/2006/relationships/control" Target="../activeX/activeX29.xml"/><Relationship Id="rId68" Type="http://schemas.openxmlformats.org/officeDocument/2006/relationships/image" Target="../media/image40.emf"/><Relationship Id="rId89" Type="http://schemas.openxmlformats.org/officeDocument/2006/relationships/control" Target="../activeX/activeX50.xml"/><Relationship Id="rId112" Type="http://schemas.openxmlformats.org/officeDocument/2006/relationships/image" Target="../media/image62.emf"/><Relationship Id="rId133" Type="http://schemas.openxmlformats.org/officeDocument/2006/relationships/control" Target="../activeX/activeX72.xml"/><Relationship Id="rId154" Type="http://schemas.openxmlformats.org/officeDocument/2006/relationships/image" Target="../media/image83.emf"/><Relationship Id="rId175" Type="http://schemas.openxmlformats.org/officeDocument/2006/relationships/control" Target="../activeX/activeX93.xml"/><Relationship Id="rId196" Type="http://schemas.openxmlformats.org/officeDocument/2006/relationships/image" Target="../media/image104.emf"/><Relationship Id="rId200" Type="http://schemas.openxmlformats.org/officeDocument/2006/relationships/image" Target="../media/image106.emf"/><Relationship Id="rId16" Type="http://schemas.openxmlformats.org/officeDocument/2006/relationships/image" Target="../media/image14.emf"/><Relationship Id="rId221" Type="http://schemas.openxmlformats.org/officeDocument/2006/relationships/control" Target="../activeX/activeX116.xml"/><Relationship Id="rId37" Type="http://schemas.openxmlformats.org/officeDocument/2006/relationships/control" Target="../activeX/activeX24.xml"/><Relationship Id="rId58" Type="http://schemas.openxmlformats.org/officeDocument/2006/relationships/image" Target="../media/image35.emf"/><Relationship Id="rId79" Type="http://schemas.openxmlformats.org/officeDocument/2006/relationships/control" Target="../activeX/activeX45.xml"/><Relationship Id="rId102" Type="http://schemas.openxmlformats.org/officeDocument/2006/relationships/image" Target="../media/image57.emf"/><Relationship Id="rId123" Type="http://schemas.openxmlformats.org/officeDocument/2006/relationships/control" Target="../activeX/activeX67.xml"/><Relationship Id="rId144" Type="http://schemas.openxmlformats.org/officeDocument/2006/relationships/image" Target="../media/image78.emf"/><Relationship Id="rId90" Type="http://schemas.openxmlformats.org/officeDocument/2006/relationships/image" Target="../media/image51.emf"/><Relationship Id="rId165" Type="http://schemas.openxmlformats.org/officeDocument/2006/relationships/control" Target="../activeX/activeX88.xml"/><Relationship Id="rId186" Type="http://schemas.openxmlformats.org/officeDocument/2006/relationships/image" Target="../media/image99.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17"/>
  <sheetViews>
    <sheetView tabSelected="1" workbookViewId="0">
      <pane ySplit="9" topLeftCell="A10" activePane="bottomLeft" state="frozen"/>
      <selection pane="bottomLeft" activeCell="D5" sqref="D5"/>
    </sheetView>
  </sheetViews>
  <sheetFormatPr defaultRowHeight="15" x14ac:dyDescent="0.25"/>
  <cols>
    <col min="2" max="2" width="9.140625" style="1" customWidth="1"/>
    <col min="3" max="3" width="82.140625" customWidth="1"/>
    <col min="5" max="9" width="25.7109375" customWidth="1"/>
  </cols>
  <sheetData>
    <row r="1" spans="1:15" ht="18.75" x14ac:dyDescent="0.25">
      <c r="C1" s="5" t="s">
        <v>95</v>
      </c>
      <c r="E1" s="6" t="s">
        <v>100</v>
      </c>
      <c r="F1" s="6" t="s">
        <v>101</v>
      </c>
      <c r="G1" s="6" t="s">
        <v>102</v>
      </c>
      <c r="H1" s="6" t="s">
        <v>103</v>
      </c>
    </row>
    <row r="2" spans="1:15" ht="21" customHeight="1" x14ac:dyDescent="0.25">
      <c r="A2" s="10">
        <f>A10+A16+A22+A28+A34+A40+A46+A52+A58+A64+A70+A76+A82+A88+A94+A100+A106+A112</f>
        <v>18</v>
      </c>
      <c r="C2" s="69" t="s">
        <v>96</v>
      </c>
      <c r="E2" s="7" t="str">
        <f>IF(A2&gt;0, " ",(B11+B20+B25+B30+B35+B44+B49+B54+B59+B68+B73+B78+B83+B92+B97+B102+B107+B116))</f>
        <v xml:space="preserve"> </v>
      </c>
      <c r="F2" s="7" t="str">
        <f>IF(A2&gt;0, " ",(B12+B17+B26+B31+B36+B41+B50+B55+B60+B65+B74+B79+B84+B89+B98+B103+B108+B113))</f>
        <v xml:space="preserve"> </v>
      </c>
      <c r="G2" s="7" t="str">
        <f>IF(A2&gt;0, " ",(B13+B18+B23+B32+B37+B42+B47+B56+B61+B66+B71+B80+B85+B90+B95+B104+B109+B114))</f>
        <v xml:space="preserve"> </v>
      </c>
      <c r="H2" s="7" t="str">
        <f>IF(A2&gt;0, " ",(B14+B19+B24+B29+B38+B43+B48+B53+B62+B67+B72+B77+B86+B91+B96+B101+B110+B115))</f>
        <v xml:space="preserve"> </v>
      </c>
      <c r="I2" s="12" t="e">
        <f>E2+F2+G2+H2</f>
        <v>#VALUE!</v>
      </c>
      <c r="J2" s="95" t="s">
        <v>156</v>
      </c>
      <c r="K2" s="96"/>
      <c r="L2" s="96"/>
      <c r="M2" s="96"/>
      <c r="N2" s="96"/>
    </row>
    <row r="3" spans="1:15" ht="33" customHeight="1" x14ac:dyDescent="0.25">
      <c r="C3" s="113" t="s">
        <v>367</v>
      </c>
      <c r="J3" s="70" t="s">
        <v>152</v>
      </c>
      <c r="K3" s="97" t="s">
        <v>97</v>
      </c>
      <c r="L3" s="98"/>
      <c r="M3" s="98"/>
      <c r="N3" s="98"/>
      <c r="O3" s="8"/>
    </row>
    <row r="4" spans="1:15" ht="29.25" customHeight="1" x14ac:dyDescent="0.25">
      <c r="C4" s="113"/>
      <c r="J4" s="70" t="s">
        <v>153</v>
      </c>
      <c r="K4" s="97" t="s">
        <v>97</v>
      </c>
      <c r="L4" s="98"/>
      <c r="M4" s="98"/>
      <c r="N4" s="98"/>
      <c r="O4" s="8"/>
    </row>
    <row r="5" spans="1:15" ht="29.25" customHeight="1" x14ac:dyDescent="0.25">
      <c r="A5" s="108" t="s">
        <v>98</v>
      </c>
      <c r="B5" s="109" t="s">
        <v>99</v>
      </c>
      <c r="C5" s="113"/>
      <c r="J5" s="70" t="s">
        <v>154</v>
      </c>
      <c r="K5" s="98" t="s">
        <v>97</v>
      </c>
      <c r="L5" s="98"/>
      <c r="M5" s="98"/>
      <c r="N5" s="98"/>
      <c r="O5" s="8"/>
    </row>
    <row r="6" spans="1:15" ht="29.25" customHeight="1" x14ac:dyDescent="0.25">
      <c r="A6" s="108"/>
      <c r="B6" s="109"/>
      <c r="C6" s="113"/>
    </row>
    <row r="7" spans="1:15" ht="29.25" customHeight="1" x14ac:dyDescent="0.25">
      <c r="A7" s="108"/>
      <c r="B7" s="109"/>
      <c r="C7" s="113"/>
    </row>
    <row r="8" spans="1:15" ht="29.25" customHeight="1" x14ac:dyDescent="0.25">
      <c r="A8" s="108"/>
      <c r="B8" s="109"/>
      <c r="C8" s="113"/>
    </row>
    <row r="9" spans="1:15" ht="20.100000000000001" customHeight="1" x14ac:dyDescent="0.25">
      <c r="E9" s="133" t="s">
        <v>97</v>
      </c>
      <c r="F9" s="133"/>
      <c r="G9" s="133"/>
      <c r="H9" s="133"/>
      <c r="I9" s="133"/>
    </row>
    <row r="10" spans="1:15" ht="20.100000000000001" customHeight="1" x14ac:dyDescent="0.25">
      <c r="A10" s="11">
        <f>IF(OR(A11="NC",A12="NC",A13="NC",A14="NC"),1,0)</f>
        <v>1</v>
      </c>
      <c r="B10" s="3" t="s">
        <v>1</v>
      </c>
      <c r="C10" s="4" t="s">
        <v>0</v>
      </c>
      <c r="E10" s="111" t="s">
        <v>124</v>
      </c>
      <c r="F10" s="112"/>
      <c r="G10" s="112"/>
      <c r="H10" s="112"/>
      <c r="I10" s="112"/>
    </row>
    <row r="11" spans="1:15" ht="20.100000000000001" customHeight="1" x14ac:dyDescent="0.25">
      <c r="A11" t="str">
        <f>IF(AND(OR(B11=1,B11=2,B11=3,B11=4),NOT(OR(B11=B12,B11=B13,B11=B14)))," ","NC")</f>
        <v>NC</v>
      </c>
      <c r="B11" s="7" t="s">
        <v>97</v>
      </c>
      <c r="C11" t="s">
        <v>19</v>
      </c>
      <c r="E11" s="110" t="s">
        <v>97</v>
      </c>
      <c r="F11" s="110"/>
      <c r="G11" s="110"/>
      <c r="H11" s="110"/>
      <c r="I11" s="110"/>
    </row>
    <row r="12" spans="1:15" ht="20.100000000000001" customHeight="1" x14ac:dyDescent="0.25">
      <c r="A12" t="str">
        <f>IF(AND(OR(B12=1,B12=2,B12=3,B12=4),NOT(OR(B12=B13,B12=B14,B12=B11)))," ","NC")</f>
        <v>NC</v>
      </c>
      <c r="B12" s="7" t="s">
        <v>97</v>
      </c>
      <c r="C12" t="s">
        <v>20</v>
      </c>
      <c r="E12" s="110"/>
      <c r="F12" s="110"/>
      <c r="G12" s="110"/>
      <c r="H12" s="110"/>
      <c r="I12" s="110"/>
    </row>
    <row r="13" spans="1:15" ht="20.100000000000001" customHeight="1" x14ac:dyDescent="0.25">
      <c r="A13" t="str">
        <f>IF(AND(OR(B13=1,B13=2,B13=3,B13=4),NOT(OR(B13=B14,B13=B11,B13=B12)))," ","NC")</f>
        <v>NC</v>
      </c>
      <c r="B13" s="7" t="s">
        <v>97</v>
      </c>
      <c r="C13" t="s">
        <v>359</v>
      </c>
      <c r="E13" s="110"/>
      <c r="F13" s="110"/>
      <c r="G13" s="110"/>
      <c r="H13" s="110"/>
      <c r="I13" s="110"/>
    </row>
    <row r="14" spans="1:15" ht="20.100000000000001" customHeight="1" x14ac:dyDescent="0.25">
      <c r="A14" t="str">
        <f>IF(AND(OR(B14=1,B14=2,B14=3,B14=4),NOT(OR(B14=B11,B14=B12,B14=B13)))," ","NC")</f>
        <v>NC</v>
      </c>
      <c r="B14" s="7" t="s">
        <v>97</v>
      </c>
      <c r="C14" t="s">
        <v>157</v>
      </c>
      <c r="E14" s="110"/>
      <c r="F14" s="110"/>
      <c r="G14" s="110"/>
      <c r="H14" s="110"/>
      <c r="I14" s="110"/>
    </row>
    <row r="15" spans="1:15" ht="20.100000000000001" customHeight="1" x14ac:dyDescent="0.25">
      <c r="E15" s="110"/>
      <c r="F15" s="110"/>
      <c r="G15" s="110"/>
      <c r="H15" s="110"/>
      <c r="I15" s="110"/>
    </row>
    <row r="16" spans="1:15" ht="20.100000000000001" customHeight="1" x14ac:dyDescent="0.25">
      <c r="A16" s="11">
        <f>IF(OR(A17="NC",A18="NC",A19="NC",A20="NC"),1,0)</f>
        <v>1</v>
      </c>
      <c r="B16" s="3" t="s">
        <v>2</v>
      </c>
      <c r="C16" s="4" t="s">
        <v>21</v>
      </c>
      <c r="E16" s="103" t="s">
        <v>125</v>
      </c>
      <c r="F16" s="104"/>
      <c r="G16" s="104"/>
      <c r="H16" s="104"/>
      <c r="I16" s="104"/>
    </row>
    <row r="17" spans="1:9" ht="20.100000000000001" customHeight="1" x14ac:dyDescent="0.25">
      <c r="A17" t="str">
        <f>IF(AND(OR(B17=1,B17=2,B17=3,B17=4),NOT(OR(B17=B18,B17=B19,B17=B20)))," ","NC")</f>
        <v>NC</v>
      </c>
      <c r="B17" s="9" t="s">
        <v>97</v>
      </c>
      <c r="C17" t="s">
        <v>22</v>
      </c>
      <c r="E17" s="102" t="s">
        <v>97</v>
      </c>
      <c r="F17" s="102"/>
      <c r="G17" s="102"/>
      <c r="H17" s="102"/>
      <c r="I17" s="102"/>
    </row>
    <row r="18" spans="1:9" ht="20.100000000000001" customHeight="1" x14ac:dyDescent="0.25">
      <c r="A18" t="str">
        <f>IF(AND(OR(B18=1,B18=2,B18=3,B18=4),NOT(OR(B18=B19,B18=B20,B18=B17)))," ","NC")</f>
        <v>NC</v>
      </c>
      <c r="B18" s="9" t="s">
        <v>97</v>
      </c>
      <c r="C18" t="s">
        <v>360</v>
      </c>
      <c r="E18" s="102"/>
      <c r="F18" s="102"/>
      <c r="G18" s="102"/>
      <c r="H18" s="102"/>
      <c r="I18" s="102"/>
    </row>
    <row r="19" spans="1:9" ht="20.100000000000001" customHeight="1" x14ac:dyDescent="0.25">
      <c r="A19" t="str">
        <f>IF(AND(OR(B19=1,B19=2,B19=3,B19=4),NOT(OR(B19=B20,B19=B17,B19=B18)))," ","NC")</f>
        <v>NC</v>
      </c>
      <c r="B19" s="9" t="s">
        <v>97</v>
      </c>
      <c r="C19" t="s">
        <v>158</v>
      </c>
      <c r="E19" s="102"/>
      <c r="F19" s="102"/>
      <c r="G19" s="102"/>
      <c r="H19" s="102"/>
      <c r="I19" s="102"/>
    </row>
    <row r="20" spans="1:9" ht="20.100000000000001" customHeight="1" x14ac:dyDescent="0.25">
      <c r="A20" t="str">
        <f>IF(AND(OR(B20=1,B20=2,B20=3,B20=4),NOT(OR(B20=B17,B20=B18,B20=B19)))," ","NC")</f>
        <v>NC</v>
      </c>
      <c r="B20" s="9" t="s">
        <v>97</v>
      </c>
      <c r="C20" t="s">
        <v>23</v>
      </c>
      <c r="E20" s="102"/>
      <c r="F20" s="102"/>
      <c r="G20" s="102"/>
      <c r="H20" s="102"/>
      <c r="I20" s="102"/>
    </row>
    <row r="21" spans="1:9" ht="20.100000000000001" customHeight="1" x14ac:dyDescent="0.25">
      <c r="E21" s="102"/>
      <c r="F21" s="102"/>
      <c r="G21" s="102"/>
      <c r="H21" s="102"/>
      <c r="I21" s="102"/>
    </row>
    <row r="22" spans="1:9" ht="20.100000000000001" customHeight="1" x14ac:dyDescent="0.25">
      <c r="A22" s="11">
        <f>IF(OR(A23="NC",A24="NC",A25="NC",A26="NC"),1,0)</f>
        <v>1</v>
      </c>
      <c r="B22" s="3" t="s">
        <v>3</v>
      </c>
      <c r="C22" s="4" t="s">
        <v>24</v>
      </c>
      <c r="E22" s="102"/>
      <c r="F22" s="102"/>
      <c r="G22" s="102"/>
      <c r="H22" s="102"/>
      <c r="I22" s="102"/>
    </row>
    <row r="23" spans="1:9" ht="20.100000000000001" customHeight="1" x14ac:dyDescent="0.25">
      <c r="A23" t="str">
        <f>IF(AND(OR(B23=1,B23=2,B23=3,B23=4),NOT(OR(B23=B24,B23=B25,B23=B26)))," ","NC")</f>
        <v>NC</v>
      </c>
      <c r="B23" s="9" t="s">
        <v>97</v>
      </c>
      <c r="C23" t="s">
        <v>25</v>
      </c>
      <c r="E23" s="102"/>
      <c r="F23" s="102"/>
      <c r="G23" s="102"/>
      <c r="H23" s="102"/>
      <c r="I23" s="102"/>
    </row>
    <row r="24" spans="1:9" ht="20.100000000000001" customHeight="1" x14ac:dyDescent="0.25">
      <c r="A24" t="str">
        <f>IF(AND(OR(B24=1,B24=2,B24=3,B24=4),NOT(OR(B24=B25,B24=B26,B24=B23)))," ","NC")</f>
        <v>NC</v>
      </c>
      <c r="B24" s="9" t="s">
        <v>97</v>
      </c>
      <c r="C24" t="s">
        <v>26</v>
      </c>
      <c r="E24" s="102"/>
      <c r="F24" s="102"/>
      <c r="G24" s="102"/>
      <c r="H24" s="102"/>
      <c r="I24" s="102"/>
    </row>
    <row r="25" spans="1:9" ht="20.100000000000001" customHeight="1" x14ac:dyDescent="0.25">
      <c r="A25" t="str">
        <f>IF(AND(OR(B25=1,B25=2,B25=3,B25=4),NOT(OR(B25=B26,B25=B23,B25=B24)))," ","NC")</f>
        <v>NC</v>
      </c>
      <c r="B25" s="9" t="s">
        <v>97</v>
      </c>
      <c r="C25" t="s">
        <v>27</v>
      </c>
      <c r="E25" s="102"/>
      <c r="F25" s="102"/>
      <c r="G25" s="102"/>
      <c r="H25" s="102"/>
      <c r="I25" s="102"/>
    </row>
    <row r="26" spans="1:9" ht="20.100000000000001" customHeight="1" x14ac:dyDescent="0.25">
      <c r="A26" t="str">
        <f>IF(AND(OR(B26=1,B26=2,B26=3,B26=4),NOT(OR(B26=B23,B26=B24,B26=B25)))," ","NC")</f>
        <v>NC</v>
      </c>
      <c r="B26" s="9" t="s">
        <v>97</v>
      </c>
      <c r="C26" t="s">
        <v>28</v>
      </c>
      <c r="E26" s="105" t="s">
        <v>126</v>
      </c>
      <c r="F26" s="105"/>
      <c r="G26" s="105"/>
      <c r="H26" s="105"/>
      <c r="I26" s="105"/>
    </row>
    <row r="27" spans="1:9" ht="20.100000000000001" customHeight="1" x14ac:dyDescent="0.25">
      <c r="E27" s="106" t="s">
        <v>97</v>
      </c>
      <c r="F27" s="106"/>
      <c r="G27" s="106"/>
      <c r="H27" s="106"/>
      <c r="I27" s="106"/>
    </row>
    <row r="28" spans="1:9" ht="20.100000000000001" customHeight="1" x14ac:dyDescent="0.25">
      <c r="A28" s="11">
        <f>IF(OR(A29="NC",A30="NC",A31="NC",A32="NC"),1,0)</f>
        <v>1</v>
      </c>
      <c r="B28" s="3" t="s">
        <v>4</v>
      </c>
      <c r="C28" s="4" t="s">
        <v>29</v>
      </c>
      <c r="E28" s="106"/>
      <c r="F28" s="106"/>
      <c r="G28" s="106"/>
      <c r="H28" s="106"/>
      <c r="I28" s="106"/>
    </row>
    <row r="29" spans="1:9" ht="20.100000000000001" customHeight="1" x14ac:dyDescent="0.25">
      <c r="A29" t="str">
        <f>IF(AND(OR(B29=1,B29=2,B29=3,B29=4),NOT(OR(B29=B30,B29=B31,B29=B32)))," ","NC")</f>
        <v>NC</v>
      </c>
      <c r="B29" s="9" t="s">
        <v>97</v>
      </c>
      <c r="C29" t="s">
        <v>30</v>
      </c>
      <c r="E29" s="107" t="s">
        <v>131</v>
      </c>
      <c r="F29" s="107"/>
      <c r="G29" s="107"/>
      <c r="H29" s="107"/>
      <c r="I29" s="107"/>
    </row>
    <row r="30" spans="1:9" ht="20.100000000000001" customHeight="1" x14ac:dyDescent="0.25">
      <c r="A30" t="str">
        <f>IF(AND(OR(B30=1,B30=2,B30=3,B30=4),NOT(OR(B30=B31,B30=B32,B30=B29)))," ","NC")</f>
        <v>NC</v>
      </c>
      <c r="B30" s="9" t="s">
        <v>97</v>
      </c>
      <c r="C30" t="s">
        <v>159</v>
      </c>
      <c r="E30" s="101" t="s">
        <v>97</v>
      </c>
      <c r="F30" s="101"/>
      <c r="G30" s="101"/>
      <c r="H30" s="101"/>
      <c r="I30" s="101"/>
    </row>
    <row r="31" spans="1:9" ht="20.100000000000001" customHeight="1" x14ac:dyDescent="0.25">
      <c r="A31" t="str">
        <f>IF(AND(OR(B31=1,B31=2,B31=3,B31=4),NOT(OR(B31=B32,B31=B29,B31=B30)))," ","NC")</f>
        <v>NC</v>
      </c>
      <c r="B31" s="9" t="s">
        <v>97</v>
      </c>
      <c r="C31" t="s">
        <v>160</v>
      </c>
      <c r="E31" s="101"/>
      <c r="F31" s="101"/>
      <c r="G31" s="101"/>
      <c r="H31" s="101"/>
      <c r="I31" s="101"/>
    </row>
    <row r="32" spans="1:9" ht="20.100000000000001" customHeight="1" x14ac:dyDescent="0.25">
      <c r="A32" t="str">
        <f>IF(AND(OR(B32=1,B32=2,B32=3,B32=4),NOT(OR(B32=B29,B32=B30,B32=B31)))," ","NC")</f>
        <v>NC</v>
      </c>
      <c r="B32" s="9" t="s">
        <v>97</v>
      </c>
      <c r="C32" t="s">
        <v>31</v>
      </c>
      <c r="E32" s="101"/>
      <c r="F32" s="101"/>
      <c r="G32" s="101"/>
      <c r="H32" s="101"/>
      <c r="I32" s="101"/>
    </row>
    <row r="33" spans="1:9" ht="20.100000000000001" customHeight="1" x14ac:dyDescent="0.25">
      <c r="B33" s="2"/>
      <c r="E33" s="101"/>
      <c r="F33" s="101"/>
      <c r="G33" s="101"/>
      <c r="H33" s="101"/>
      <c r="I33" s="101"/>
    </row>
    <row r="34" spans="1:9" ht="20.100000000000001" customHeight="1" x14ac:dyDescent="0.25">
      <c r="A34" s="11">
        <f>IF(OR(A35="NC",A36="NC",A37="NC",A38="NC"),1,0)</f>
        <v>1</v>
      </c>
      <c r="B34" s="3" t="s">
        <v>5</v>
      </c>
      <c r="C34" s="4" t="s">
        <v>32</v>
      </c>
      <c r="E34" s="101"/>
      <c r="F34" s="101"/>
      <c r="G34" s="101"/>
      <c r="H34" s="101"/>
      <c r="I34" s="101"/>
    </row>
    <row r="35" spans="1:9" ht="20.100000000000001" customHeight="1" x14ac:dyDescent="0.25">
      <c r="A35" t="str">
        <f>IF(AND(OR(B35=1,B35=2,B35=3,B35=4),NOT(OR(B35=B36,B35=B37,B35=B38)))," ","NC")</f>
        <v>NC</v>
      </c>
      <c r="B35" s="9" t="s">
        <v>97</v>
      </c>
      <c r="C35" t="s">
        <v>33</v>
      </c>
      <c r="E35" s="100" t="s">
        <v>132</v>
      </c>
      <c r="F35" s="100"/>
      <c r="G35" s="100"/>
      <c r="H35" s="100"/>
      <c r="I35" s="100"/>
    </row>
    <row r="36" spans="1:9" ht="20.100000000000001" customHeight="1" x14ac:dyDescent="0.25">
      <c r="A36" t="str">
        <f>IF(AND(OR(B36=1,B36=2,B36=3,B36=4),NOT(OR(B36=B37,B36=B38,B36=B35)))," ","NC")</f>
        <v>NC</v>
      </c>
      <c r="B36" s="9" t="s">
        <v>97</v>
      </c>
      <c r="C36" t="s">
        <v>34</v>
      </c>
      <c r="E36" s="101" t="s">
        <v>97</v>
      </c>
      <c r="F36" s="101"/>
      <c r="G36" s="101"/>
      <c r="H36" s="101"/>
      <c r="I36" s="101"/>
    </row>
    <row r="37" spans="1:9" ht="20.100000000000001" customHeight="1" x14ac:dyDescent="0.25">
      <c r="A37" t="str">
        <f>IF(AND(OR(B37=1,B37=2,B37=3,B37=4),NOT(OR(B37=B38,B37=B35,B37=B36)))," ","NC")</f>
        <v>NC</v>
      </c>
      <c r="B37" s="9" t="s">
        <v>97</v>
      </c>
      <c r="C37" t="s">
        <v>35</v>
      </c>
      <c r="E37" s="101"/>
      <c r="F37" s="101"/>
      <c r="G37" s="101"/>
      <c r="H37" s="101"/>
      <c r="I37" s="101"/>
    </row>
    <row r="38" spans="1:9" ht="20.100000000000001" customHeight="1" x14ac:dyDescent="0.25">
      <c r="A38" t="str">
        <f>IF(AND(OR(B38=1,B38=2,B38=3,B38=4),NOT(OR(B38=B35,B38=B36,B38=B37)))," ","NC")</f>
        <v>NC</v>
      </c>
      <c r="B38" s="9" t="s">
        <v>97</v>
      </c>
      <c r="C38" t="s">
        <v>36</v>
      </c>
    </row>
    <row r="39" spans="1:9" ht="20.100000000000001" customHeight="1" x14ac:dyDescent="0.25">
      <c r="E39" s="99" t="s">
        <v>168</v>
      </c>
      <c r="F39" s="99"/>
      <c r="G39" s="99"/>
      <c r="H39" s="99"/>
      <c r="I39" s="99"/>
    </row>
    <row r="40" spans="1:9" ht="20.100000000000001" customHeight="1" x14ac:dyDescent="0.25">
      <c r="A40" s="11">
        <f>IF(OR(A41="NC",A42="NC",A43="NC",A44="NC"),1,0)</f>
        <v>1</v>
      </c>
      <c r="B40" s="3" t="s">
        <v>6</v>
      </c>
      <c r="C40" s="4" t="s">
        <v>37</v>
      </c>
      <c r="E40" s="74" t="s">
        <v>163</v>
      </c>
      <c r="F40" s="74" t="s">
        <v>164</v>
      </c>
      <c r="G40" s="74" t="s">
        <v>165</v>
      </c>
      <c r="H40" s="74" t="s">
        <v>166</v>
      </c>
      <c r="I40" s="74" t="s">
        <v>167</v>
      </c>
    </row>
    <row r="41" spans="1:9" ht="20.100000000000001" customHeight="1" x14ac:dyDescent="0.25">
      <c r="A41" t="str">
        <f>IF(AND(OR(B41=1,B41=2,B41=3,B41=4),NOT(OR(B41=B42,B41=B43,B41=B44)))," ","NC")</f>
        <v>NC</v>
      </c>
      <c r="B41" s="9" t="s">
        <v>97</v>
      </c>
      <c r="C41" t="s">
        <v>38</v>
      </c>
      <c r="E41" s="75" t="s">
        <v>97</v>
      </c>
      <c r="F41" s="75" t="s">
        <v>97</v>
      </c>
      <c r="G41" s="75" t="s">
        <v>97</v>
      </c>
      <c r="H41" s="75" t="s">
        <v>97</v>
      </c>
      <c r="I41" s="75" t="s">
        <v>97</v>
      </c>
    </row>
    <row r="42" spans="1:9" ht="20.100000000000001" customHeight="1" x14ac:dyDescent="0.25">
      <c r="A42" t="str">
        <f>IF(AND(OR(B42=1,B42=2,B42=3,B42=4),NOT(OR(B42=B43,B42=B44,B42=B41)))," ","NC")</f>
        <v>NC</v>
      </c>
      <c r="B42" s="9" t="s">
        <v>97</v>
      </c>
      <c r="C42" t="s">
        <v>39</v>
      </c>
      <c r="E42" s="75" t="s">
        <v>97</v>
      </c>
      <c r="F42" s="75" t="s">
        <v>97</v>
      </c>
      <c r="G42" s="75" t="s">
        <v>97</v>
      </c>
      <c r="H42" s="75" t="s">
        <v>97</v>
      </c>
      <c r="I42" s="75" t="s">
        <v>97</v>
      </c>
    </row>
    <row r="43" spans="1:9" ht="20.100000000000001" customHeight="1" x14ac:dyDescent="0.25">
      <c r="A43" t="str">
        <f>IF(AND(OR(B43=1,B43=2,B43=3,B43=4),NOT(OR(B43=B44,B43=B41,B43=B42)))," ","NC")</f>
        <v>NC</v>
      </c>
      <c r="B43" s="9" t="s">
        <v>97</v>
      </c>
      <c r="C43" t="s">
        <v>40</v>
      </c>
      <c r="E43" s="75" t="s">
        <v>97</v>
      </c>
      <c r="F43" s="75" t="s">
        <v>97</v>
      </c>
      <c r="G43" s="75" t="s">
        <v>97</v>
      </c>
      <c r="H43" s="75" t="s">
        <v>97</v>
      </c>
      <c r="I43" s="75" t="s">
        <v>97</v>
      </c>
    </row>
    <row r="44" spans="1:9" ht="20.100000000000001" customHeight="1" x14ac:dyDescent="0.25">
      <c r="A44" t="str">
        <f>IF(AND(OR(B44=1,B44=2,B44=3,B44=4),NOT(OR(B44=B41,B44=B42,B44=B43)))," ","NC")</f>
        <v>NC</v>
      </c>
      <c r="B44" s="9" t="s">
        <v>97</v>
      </c>
      <c r="C44" t="s">
        <v>41</v>
      </c>
      <c r="E44" s="75" t="s">
        <v>97</v>
      </c>
      <c r="F44" s="75" t="s">
        <v>97</v>
      </c>
      <c r="G44" s="75" t="s">
        <v>97</v>
      </c>
      <c r="H44" s="75" t="s">
        <v>97</v>
      </c>
      <c r="I44" s="75" t="s">
        <v>97</v>
      </c>
    </row>
    <row r="45" spans="1:9" ht="20.100000000000001" customHeight="1" x14ac:dyDescent="0.25">
      <c r="E45" s="75" t="s">
        <v>97</v>
      </c>
      <c r="F45" s="75" t="s">
        <v>97</v>
      </c>
      <c r="G45" s="75" t="s">
        <v>97</v>
      </c>
      <c r="H45" s="75" t="s">
        <v>97</v>
      </c>
      <c r="I45" s="75" t="s">
        <v>97</v>
      </c>
    </row>
    <row r="46" spans="1:9" ht="20.100000000000001" customHeight="1" x14ac:dyDescent="0.25">
      <c r="A46" s="11">
        <f>IF(OR(A47="NC",A48="NC",A49="NC",A50="NC"),1,0)</f>
        <v>1</v>
      </c>
      <c r="B46" s="3" t="s">
        <v>7</v>
      </c>
      <c r="C46" s="4" t="s">
        <v>42</v>
      </c>
    </row>
    <row r="47" spans="1:9" ht="20.100000000000001" customHeight="1" x14ac:dyDescent="0.25">
      <c r="A47" t="str">
        <f>IF(AND(OR(B47=1,B47=2,B47=3,B47=4),NOT(OR(B47=B48,B47=B49,B47=B50)))," ","NC")</f>
        <v>NC</v>
      </c>
      <c r="B47" s="9" t="s">
        <v>97</v>
      </c>
      <c r="C47" t="s">
        <v>43</v>
      </c>
      <c r="E47" s="103" t="s">
        <v>262</v>
      </c>
      <c r="F47" s="103"/>
      <c r="G47" s="103"/>
      <c r="H47" s="103"/>
      <c r="I47" s="86"/>
    </row>
    <row r="48" spans="1:9" ht="20.100000000000001" customHeight="1" x14ac:dyDescent="0.25">
      <c r="A48" t="str">
        <f>IF(AND(OR(B48=1,B48=2,B48=3,B48=4),NOT(OR(B48=B49,B48=B50,B48=B47)))," ","NC")</f>
        <v>NC</v>
      </c>
      <c r="B48" s="9" t="s">
        <v>97</v>
      </c>
      <c r="C48" t="s">
        <v>44</v>
      </c>
      <c r="E48" s="115" t="s">
        <v>258</v>
      </c>
      <c r="F48" s="115"/>
      <c r="G48" s="115"/>
      <c r="H48" s="115"/>
      <c r="I48" s="85"/>
    </row>
    <row r="49" spans="1:9" ht="20.100000000000001" customHeight="1" x14ac:dyDescent="0.25">
      <c r="A49" t="str">
        <f>IF(AND(OR(B49=1,B49=2,B49=3,B49=4),NOT(OR(B49=B50,B49=B47,B49=B48)))," ","NC")</f>
        <v>NC</v>
      </c>
      <c r="B49" s="9" t="s">
        <v>97</v>
      </c>
      <c r="C49" t="s">
        <v>45</v>
      </c>
      <c r="E49" s="116" t="s">
        <v>260</v>
      </c>
      <c r="F49" s="116"/>
      <c r="G49" s="116"/>
      <c r="H49" s="116"/>
      <c r="I49" s="83"/>
    </row>
    <row r="50" spans="1:9" ht="20.100000000000001" customHeight="1" x14ac:dyDescent="0.25">
      <c r="A50" t="str">
        <f>IF(AND(OR(B50=1,B50=2,B50=3,B50=4),NOT(OR(B50=B47,B50=B48,B50=B49)))," ","NC")</f>
        <v>NC</v>
      </c>
      <c r="B50" s="9" t="s">
        <v>97</v>
      </c>
      <c r="C50" t="s">
        <v>46</v>
      </c>
      <c r="E50" s="74" t="s">
        <v>254</v>
      </c>
      <c r="F50" s="74" t="s">
        <v>255</v>
      </c>
      <c r="G50" s="74" t="s">
        <v>256</v>
      </c>
      <c r="H50" s="74" t="s">
        <v>257</v>
      </c>
      <c r="I50" s="83"/>
    </row>
    <row r="51" spans="1:9" ht="20.100000000000001" customHeight="1" x14ac:dyDescent="0.25">
      <c r="E51" s="102" t="s">
        <v>97</v>
      </c>
      <c r="F51" s="102" t="s">
        <v>97</v>
      </c>
      <c r="G51" s="102" t="s">
        <v>97</v>
      </c>
      <c r="H51" s="102" t="s">
        <v>97</v>
      </c>
    </row>
    <row r="52" spans="1:9" ht="20.100000000000001" customHeight="1" x14ac:dyDescent="0.25">
      <c r="A52" s="11">
        <f>IF(OR(A53="NC",A54="NC",A55="NC",A56="NC"),1,0)</f>
        <v>1</v>
      </c>
      <c r="B52" s="3" t="s">
        <v>8</v>
      </c>
      <c r="C52" s="4" t="s">
        <v>47</v>
      </c>
      <c r="E52" s="102"/>
      <c r="F52" s="102"/>
      <c r="G52" s="102"/>
      <c r="H52" s="102"/>
    </row>
    <row r="53" spans="1:9" ht="20.100000000000001" customHeight="1" x14ac:dyDescent="0.25">
      <c r="A53" t="str">
        <f>IF(AND(OR(B53=1,B53=2,B53=3,B53=4),NOT(OR(B53=B54,B53=B55,B53=B56)))," ","NC")</f>
        <v>NC</v>
      </c>
      <c r="B53" s="9" t="s">
        <v>97</v>
      </c>
      <c r="C53" t="s">
        <v>48</v>
      </c>
      <c r="E53" s="102" t="s">
        <v>97</v>
      </c>
      <c r="F53" s="102" t="s">
        <v>97</v>
      </c>
      <c r="G53" s="102" t="s">
        <v>97</v>
      </c>
      <c r="H53" s="102" t="s">
        <v>97</v>
      </c>
    </row>
    <row r="54" spans="1:9" ht="20.100000000000001" customHeight="1" x14ac:dyDescent="0.25">
      <c r="A54" t="str">
        <f>IF(AND(OR(B54=1,B54=2,B54=3,B54=4),NOT(OR(B54=B55,B54=B56,B54=B53)))," ","NC")</f>
        <v>NC</v>
      </c>
      <c r="B54" s="9" t="s">
        <v>97</v>
      </c>
      <c r="C54" t="s">
        <v>49</v>
      </c>
      <c r="E54" s="102"/>
      <c r="F54" s="102"/>
      <c r="G54" s="102"/>
      <c r="H54" s="102"/>
    </row>
    <row r="55" spans="1:9" ht="20.100000000000001" customHeight="1" x14ac:dyDescent="0.25">
      <c r="A55" t="str">
        <f>IF(AND(OR(B55=1,B55=2,B55=3,B55=4),NOT(OR(B55=B56,B55=B53,B55=B54)))," ","NC")</f>
        <v>NC</v>
      </c>
      <c r="B55" s="9" t="s">
        <v>97</v>
      </c>
      <c r="C55" t="s">
        <v>50</v>
      </c>
      <c r="E55" s="102" t="s">
        <v>97</v>
      </c>
      <c r="F55" s="102" t="s">
        <v>97</v>
      </c>
      <c r="G55" s="102" t="s">
        <v>97</v>
      </c>
      <c r="H55" s="102" t="s">
        <v>97</v>
      </c>
    </row>
    <row r="56" spans="1:9" ht="20.100000000000001" customHeight="1" x14ac:dyDescent="0.25">
      <c r="A56" t="str">
        <f>IF(AND(OR(B56=1,B56=2,B56=3,B56=4),NOT(OR(B56=B53,B56=B54,B56=B55)))," ","NC")</f>
        <v>NC</v>
      </c>
      <c r="B56" s="9" t="s">
        <v>97</v>
      </c>
      <c r="C56" t="s">
        <v>51</v>
      </c>
      <c r="E56" s="102"/>
      <c r="F56" s="102"/>
      <c r="G56" s="102"/>
      <c r="H56" s="102"/>
    </row>
    <row r="57" spans="1:9" ht="20.100000000000001" customHeight="1" x14ac:dyDescent="0.25">
      <c r="E57" s="114" t="s">
        <v>261</v>
      </c>
      <c r="F57" s="114"/>
      <c r="G57" s="114"/>
      <c r="H57" s="114"/>
    </row>
    <row r="58" spans="1:9" ht="20.100000000000001" customHeight="1" x14ac:dyDescent="0.25">
      <c r="A58" s="11">
        <f>IF(OR(A59="NC",A60="NC",A61="NC",A62="NC"),1,0)</f>
        <v>1</v>
      </c>
      <c r="B58" s="3" t="s">
        <v>9</v>
      </c>
      <c r="C58" s="4" t="s">
        <v>52</v>
      </c>
      <c r="E58" s="84" t="s">
        <v>254</v>
      </c>
      <c r="F58" s="84" t="s">
        <v>255</v>
      </c>
      <c r="G58" s="84" t="s">
        <v>256</v>
      </c>
      <c r="H58" s="84" t="s">
        <v>257</v>
      </c>
    </row>
    <row r="59" spans="1:9" ht="20.100000000000001" customHeight="1" x14ac:dyDescent="0.25">
      <c r="A59" t="str">
        <f>IF(AND(OR(B59=1,B59=2,B59=3,B59=4),NOT(OR(B59=B60,B59=B61,B59=B62)))," ","NC")</f>
        <v>NC</v>
      </c>
      <c r="B59" s="9" t="s">
        <v>97</v>
      </c>
      <c r="C59" t="s">
        <v>361</v>
      </c>
      <c r="E59" s="101" t="s">
        <v>97</v>
      </c>
      <c r="F59" s="101" t="s">
        <v>97</v>
      </c>
      <c r="G59" s="101" t="s">
        <v>97</v>
      </c>
      <c r="H59" s="101" t="s">
        <v>97</v>
      </c>
    </row>
    <row r="60" spans="1:9" ht="20.100000000000001" customHeight="1" x14ac:dyDescent="0.25">
      <c r="A60" t="str">
        <f>IF(AND(OR(B60=1,B60=2,B60=3,B60=4),NOT(OR(B60=B61,B60=B62,B60=B59)))," ","NC")</f>
        <v>NC</v>
      </c>
      <c r="B60" s="9" t="s">
        <v>97</v>
      </c>
      <c r="C60" t="s">
        <v>53</v>
      </c>
      <c r="E60" s="101"/>
      <c r="F60" s="101"/>
      <c r="G60" s="101"/>
      <c r="H60" s="101"/>
    </row>
    <row r="61" spans="1:9" ht="20.100000000000001" customHeight="1" x14ac:dyDescent="0.25">
      <c r="A61" t="str">
        <f>IF(AND(OR(B61=1,B61=2,B61=3,B61=4),NOT(OR(B61=B62,B61=B59,B61=B60)))," ","NC")</f>
        <v>NC</v>
      </c>
      <c r="B61" s="9" t="s">
        <v>97</v>
      </c>
      <c r="C61" t="s">
        <v>54</v>
      </c>
      <c r="E61" s="101" t="s">
        <v>97</v>
      </c>
      <c r="F61" s="101" t="s">
        <v>97</v>
      </c>
      <c r="G61" s="101" t="s">
        <v>97</v>
      </c>
      <c r="H61" s="101" t="s">
        <v>97</v>
      </c>
    </row>
    <row r="62" spans="1:9" ht="20.100000000000001" customHeight="1" x14ac:dyDescent="0.25">
      <c r="A62" t="str">
        <f>IF(AND(OR(B62=1,B62=2,B62=3,B62=4),NOT(OR(B62=B59,B62=B60,B62=B61)))," ","NC")</f>
        <v>NC</v>
      </c>
      <c r="B62" s="9" t="s">
        <v>97</v>
      </c>
      <c r="C62" t="s">
        <v>55</v>
      </c>
      <c r="E62" s="101"/>
      <c r="F62" s="101"/>
      <c r="G62" s="101"/>
      <c r="H62" s="101"/>
    </row>
    <row r="63" spans="1:9" ht="20.100000000000001" customHeight="1" x14ac:dyDescent="0.25">
      <c r="E63" s="101" t="s">
        <v>97</v>
      </c>
      <c r="F63" s="101" t="s">
        <v>97</v>
      </c>
      <c r="G63" s="101" t="s">
        <v>97</v>
      </c>
      <c r="H63" s="101" t="s">
        <v>97</v>
      </c>
    </row>
    <row r="64" spans="1:9" ht="20.100000000000001" customHeight="1" x14ac:dyDescent="0.25">
      <c r="A64" s="11">
        <f>IF(OR(A65="NC",A66="NC",A67="NC",A68="NC"),1,0)</f>
        <v>1</v>
      </c>
      <c r="B64" s="3" t="s">
        <v>10</v>
      </c>
      <c r="C64" s="4" t="s">
        <v>56</v>
      </c>
      <c r="E64" s="101"/>
      <c r="F64" s="101"/>
      <c r="G64" s="101"/>
      <c r="H64" s="101"/>
    </row>
    <row r="65" spans="1:3" ht="20.100000000000001" customHeight="1" x14ac:dyDescent="0.25">
      <c r="A65" t="str">
        <f>IF(AND(OR(B65=1,B65=2,B65=3,B65=4),NOT(OR(B65=B66,B65=B67,B65=B68)))," ","NC")</f>
        <v>NC</v>
      </c>
      <c r="B65" s="9" t="s">
        <v>97</v>
      </c>
      <c r="C65" t="s">
        <v>57</v>
      </c>
    </row>
    <row r="66" spans="1:3" ht="20.100000000000001" customHeight="1" x14ac:dyDescent="0.25">
      <c r="A66" t="str">
        <f>IF(AND(OR(B66=1,B66=2,B66=3,B66=4),NOT(OR(B66=B67,B66=B68,B66=B65)))," ","NC")</f>
        <v>NC</v>
      </c>
      <c r="B66" s="9" t="s">
        <v>97</v>
      </c>
      <c r="C66" t="s">
        <v>58</v>
      </c>
    </row>
    <row r="67" spans="1:3" ht="20.100000000000001" customHeight="1" x14ac:dyDescent="0.25">
      <c r="A67" t="str">
        <f>IF(AND(OR(B67=1,B67=2,B67=3,B67=4),NOT(OR(B67=B68,B67=B65,B67=B66)))," ","NC")</f>
        <v>NC</v>
      </c>
      <c r="B67" s="9" t="s">
        <v>97</v>
      </c>
      <c r="C67" t="s">
        <v>59</v>
      </c>
    </row>
    <row r="68" spans="1:3" ht="20.100000000000001" customHeight="1" x14ac:dyDescent="0.25">
      <c r="A68" t="str">
        <f>IF(AND(OR(B68=1,B68=2,B68=3,B68=4),NOT(OR(B68=B65,B68=B66,B68=B67)))," ","NC")</f>
        <v>NC</v>
      </c>
      <c r="B68" s="9" t="s">
        <v>97</v>
      </c>
      <c r="C68" t="s">
        <v>60</v>
      </c>
    </row>
    <row r="69" spans="1:3" ht="20.100000000000001" customHeight="1" x14ac:dyDescent="0.25"/>
    <row r="70" spans="1:3" ht="20.100000000000001" customHeight="1" x14ac:dyDescent="0.25">
      <c r="A70" s="11">
        <f>IF(OR(A71="NC",A72="NC",A73="NC",A74="NC"),1,0)</f>
        <v>1</v>
      </c>
      <c r="B70" s="3" t="s">
        <v>11</v>
      </c>
      <c r="C70" s="4" t="s">
        <v>61</v>
      </c>
    </row>
    <row r="71" spans="1:3" ht="20.100000000000001" customHeight="1" x14ac:dyDescent="0.25">
      <c r="A71" t="str">
        <f>IF(AND(OR(B71=1,B71=2,B71=3,B71=4),NOT(OR(B71=B72,B71=B73,B71=B74)))," ","NC")</f>
        <v>NC</v>
      </c>
      <c r="B71" s="9" t="s">
        <v>97</v>
      </c>
      <c r="C71" t="s">
        <v>62</v>
      </c>
    </row>
    <row r="72" spans="1:3" ht="20.100000000000001" customHeight="1" x14ac:dyDescent="0.25">
      <c r="A72" t="str">
        <f>IF(AND(OR(B72=1,B72=2,B72=3,B72=4),NOT(OR(B72=B73,B72=B74,B72=B71)))," ","NC")</f>
        <v>NC</v>
      </c>
      <c r="B72" s="9" t="s">
        <v>97</v>
      </c>
      <c r="C72" t="s">
        <v>63</v>
      </c>
    </row>
    <row r="73" spans="1:3" ht="20.100000000000001" customHeight="1" x14ac:dyDescent="0.25">
      <c r="A73" t="str">
        <f>IF(AND(OR(B73=1,B73=2,B73=3,B73=4),NOT(OR(B73=B74,B73=B71,B73=B72)))," ","NC")</f>
        <v>NC</v>
      </c>
      <c r="B73" s="9" t="s">
        <v>97</v>
      </c>
      <c r="C73" t="s">
        <v>64</v>
      </c>
    </row>
    <row r="74" spans="1:3" ht="20.100000000000001" customHeight="1" x14ac:dyDescent="0.25">
      <c r="A74" t="str">
        <f>IF(AND(OR(B74=1,B74=2,B74=3,B74=4),NOT(OR(B74=B71,B74=B72,B74=B73)))," ","NC")</f>
        <v>NC</v>
      </c>
      <c r="B74" s="9" t="s">
        <v>97</v>
      </c>
      <c r="C74" t="s">
        <v>65</v>
      </c>
    </row>
    <row r="75" spans="1:3" ht="20.100000000000001" customHeight="1" x14ac:dyDescent="0.25"/>
    <row r="76" spans="1:3" ht="20.100000000000001" customHeight="1" x14ac:dyDescent="0.25">
      <c r="A76" s="11">
        <f>IF(OR(A77="NC",A78="NC",A79="NC",A80="NC"),1,0)</f>
        <v>1</v>
      </c>
      <c r="B76" s="3" t="s">
        <v>12</v>
      </c>
      <c r="C76" s="4" t="s">
        <v>66</v>
      </c>
    </row>
    <row r="77" spans="1:3" ht="20.100000000000001" customHeight="1" x14ac:dyDescent="0.25">
      <c r="A77" t="str">
        <f>IF(AND(OR(B77=1,B77=2,B77=3,B77=4),NOT(OR(B77=B78,B77=B79,B77=B80)))," ","NC")</f>
        <v>NC</v>
      </c>
      <c r="B77" s="9" t="s">
        <v>97</v>
      </c>
      <c r="C77" t="s">
        <v>362</v>
      </c>
    </row>
    <row r="78" spans="1:3" ht="20.100000000000001" customHeight="1" x14ac:dyDescent="0.25">
      <c r="A78" t="str">
        <f>IF(AND(OR(B78=1,B78=2,B78=3,B78=4),NOT(OR(B78=B79,B78=B80,B78=B77)))," ","NC")</f>
        <v>NC</v>
      </c>
      <c r="B78" s="9" t="s">
        <v>97</v>
      </c>
      <c r="C78" t="s">
        <v>67</v>
      </c>
    </row>
    <row r="79" spans="1:3" ht="20.100000000000001" customHeight="1" x14ac:dyDescent="0.25">
      <c r="A79" t="str">
        <f>IF(AND(OR(B79=1,B79=2,B79=3,B79=4),NOT(OR(B79=B80,B79=B77,B79=B78)))," ","NC")</f>
        <v>NC</v>
      </c>
      <c r="B79" s="9" t="s">
        <v>97</v>
      </c>
      <c r="C79" t="s">
        <v>68</v>
      </c>
    </row>
    <row r="80" spans="1:3" ht="20.100000000000001" customHeight="1" x14ac:dyDescent="0.25">
      <c r="A80" t="str">
        <f>IF(AND(OR(B80=1,B80=2,B80=3,B80=4),NOT(OR(B80=B77,B80=B78,B80=B79)))," ","NC")</f>
        <v>NC</v>
      </c>
      <c r="B80" s="9" t="s">
        <v>97</v>
      </c>
      <c r="C80" t="s">
        <v>69</v>
      </c>
    </row>
    <row r="81" spans="1:3" ht="20.100000000000001" customHeight="1" x14ac:dyDescent="0.25"/>
    <row r="82" spans="1:3" ht="20.100000000000001" customHeight="1" x14ac:dyDescent="0.25">
      <c r="A82" s="11">
        <f>IF(OR(A83="NC",A84="NC",A85="NC",A86="NC"),1,0)</f>
        <v>1</v>
      </c>
      <c r="B82" s="3" t="s">
        <v>13</v>
      </c>
      <c r="C82" s="4" t="s">
        <v>70</v>
      </c>
    </row>
    <row r="83" spans="1:3" ht="20.100000000000001" customHeight="1" x14ac:dyDescent="0.25">
      <c r="A83" t="str">
        <f>IF(AND(OR(B83=1,B83=2,B83=3,B83=4),NOT(OR(B83=B84,B83=B85,B83=B86)))," ","NC")</f>
        <v>NC</v>
      </c>
      <c r="B83" s="9" t="s">
        <v>97</v>
      </c>
      <c r="C83" t="s">
        <v>161</v>
      </c>
    </row>
    <row r="84" spans="1:3" ht="20.100000000000001" customHeight="1" x14ac:dyDescent="0.25">
      <c r="A84" t="str">
        <f>IF(AND(OR(B84=1,B84=2,B84=3,B84=4),NOT(OR(B84=B85,B84=B86,B84=B83)))," ","NC")</f>
        <v>NC</v>
      </c>
      <c r="B84" s="9" t="s">
        <v>97</v>
      </c>
      <c r="C84" t="s">
        <v>71</v>
      </c>
    </row>
    <row r="85" spans="1:3" ht="20.100000000000001" customHeight="1" x14ac:dyDescent="0.25">
      <c r="A85" t="str">
        <f>IF(AND(OR(B85=1,B85=2,B85=3,B85=4),NOT(OR(B85=B86,B85=B83,B85=B84)))," ","NC")</f>
        <v>NC</v>
      </c>
      <c r="B85" s="9" t="s">
        <v>97</v>
      </c>
      <c r="C85" t="s">
        <v>72</v>
      </c>
    </row>
    <row r="86" spans="1:3" ht="20.100000000000001" customHeight="1" x14ac:dyDescent="0.25">
      <c r="A86" t="str">
        <f>IF(AND(OR(B86=1,B86=2,B86=3,B86=4),NOT(OR(B86=B83,B86=B84,B86=B85)))," ","NC")</f>
        <v>NC</v>
      </c>
      <c r="B86" s="9" t="s">
        <v>97</v>
      </c>
      <c r="C86" t="s">
        <v>73</v>
      </c>
    </row>
    <row r="87" spans="1:3" ht="20.100000000000001" customHeight="1" x14ac:dyDescent="0.25"/>
    <row r="88" spans="1:3" ht="20.100000000000001" customHeight="1" x14ac:dyDescent="0.25">
      <c r="A88" s="11">
        <f>IF(OR(A89="NC",A90="NC",A91="NC",A92="NC"),1,0)</f>
        <v>1</v>
      </c>
      <c r="B88" s="3" t="s">
        <v>14</v>
      </c>
      <c r="C88" s="4" t="s">
        <v>74</v>
      </c>
    </row>
    <row r="89" spans="1:3" ht="20.100000000000001" customHeight="1" x14ac:dyDescent="0.25">
      <c r="A89" t="str">
        <f>IF(AND(OR(B89=1,B89=2,B89=3,B89=4),NOT(OR(B89=B90,B89=B91,B89=B92)))," ","NC")</f>
        <v>NC</v>
      </c>
      <c r="B89" s="9" t="s">
        <v>97</v>
      </c>
      <c r="C89" t="s">
        <v>75</v>
      </c>
    </row>
    <row r="90" spans="1:3" ht="20.100000000000001" customHeight="1" x14ac:dyDescent="0.25">
      <c r="A90" t="str">
        <f>IF(AND(OR(B90=1,B90=2,B90=3,B90=4),NOT(OR(B90=B91,B90=B92,B90=B89)))," ","NC")</f>
        <v>NC</v>
      </c>
      <c r="B90" s="9" t="s">
        <v>97</v>
      </c>
      <c r="C90" t="s">
        <v>76</v>
      </c>
    </row>
    <row r="91" spans="1:3" ht="20.100000000000001" customHeight="1" x14ac:dyDescent="0.25">
      <c r="A91" t="str">
        <f>IF(AND(OR(B91=1,B91=2,B91=3,B91=4),NOT(OR(B91=B92,B91=B89,B91=B90)))," ","NC")</f>
        <v>NC</v>
      </c>
      <c r="B91" s="9" t="s">
        <v>97</v>
      </c>
      <c r="C91" t="s">
        <v>77</v>
      </c>
    </row>
    <row r="92" spans="1:3" ht="20.100000000000001" customHeight="1" x14ac:dyDescent="0.25">
      <c r="A92" t="str">
        <f>IF(AND(OR(B92=1,B92=2,B92=3,B92=4),NOT(OR(B92=B89,B92=B90,B92=B91)))," ","NC")</f>
        <v>NC</v>
      </c>
      <c r="B92" s="9" t="s">
        <v>97</v>
      </c>
      <c r="C92" t="s">
        <v>363</v>
      </c>
    </row>
    <row r="93" spans="1:3" ht="20.100000000000001" customHeight="1" x14ac:dyDescent="0.25">
      <c r="B93" s="2"/>
    </row>
    <row r="94" spans="1:3" ht="20.100000000000001" customHeight="1" x14ac:dyDescent="0.25">
      <c r="A94" s="11">
        <f>IF(OR(A95="NC",A96="NC",A97="NC",A98="NC"),1,0)</f>
        <v>1</v>
      </c>
      <c r="B94" s="3" t="s">
        <v>15</v>
      </c>
      <c r="C94" s="4" t="s">
        <v>364</v>
      </c>
    </row>
    <row r="95" spans="1:3" ht="20.100000000000001" customHeight="1" x14ac:dyDescent="0.25">
      <c r="A95" t="str">
        <f>IF(AND(OR(B95=1,B95=2,B95=3,B95=4),NOT(OR(B95=B96,B95=B97,B95=B98)))," ","NC")</f>
        <v>NC</v>
      </c>
      <c r="B95" s="9" t="s">
        <v>97</v>
      </c>
      <c r="C95" t="s">
        <v>78</v>
      </c>
    </row>
    <row r="96" spans="1:3" ht="20.100000000000001" customHeight="1" x14ac:dyDescent="0.25">
      <c r="A96" t="str">
        <f>IF(AND(OR(B96=1,B96=2,B96=3,B96=4),NOT(OR(B96=B97,B96=B98,B96=B95)))," ","NC")</f>
        <v>NC</v>
      </c>
      <c r="B96" s="9" t="s">
        <v>97</v>
      </c>
      <c r="C96" t="s">
        <v>79</v>
      </c>
    </row>
    <row r="97" spans="1:3" ht="20.100000000000001" customHeight="1" x14ac:dyDescent="0.25">
      <c r="A97" t="str">
        <f>IF(AND(OR(B97=1,B97=2,B97=3,B97=4),NOT(OR(B97=B98,B97=B95,B97=B96)))," ","NC")</f>
        <v>NC</v>
      </c>
      <c r="B97" s="9" t="s">
        <v>97</v>
      </c>
      <c r="C97" t="s">
        <v>80</v>
      </c>
    </row>
    <row r="98" spans="1:3" ht="20.100000000000001" customHeight="1" x14ac:dyDescent="0.25">
      <c r="A98" t="str">
        <f>IF(AND(OR(B98=1,B98=2,B98=3,B98=4),NOT(OR(B98=B95,B98=B96,B98=B97)))," ","NC")</f>
        <v>NC</v>
      </c>
      <c r="B98" s="9" t="s">
        <v>97</v>
      </c>
      <c r="C98" t="s">
        <v>365</v>
      </c>
    </row>
    <row r="99" spans="1:3" ht="20.100000000000001" customHeight="1" x14ac:dyDescent="0.25"/>
    <row r="100" spans="1:3" ht="20.100000000000001" customHeight="1" x14ac:dyDescent="0.25">
      <c r="A100" s="11">
        <f>IF(OR(A101="NC",A102="NC",A103="NC",A104="NC"),1,0)</f>
        <v>1</v>
      </c>
      <c r="B100" s="3" t="s">
        <v>16</v>
      </c>
      <c r="C100" s="4" t="s">
        <v>81</v>
      </c>
    </row>
    <row r="101" spans="1:3" ht="20.100000000000001" customHeight="1" x14ac:dyDescent="0.25">
      <c r="A101" t="str">
        <f>IF(AND(OR(B101=1,B101=2,B101=3,B101=4),NOT(OR(B101=B102,B101=B103,B101=B104)))," ","NC")</f>
        <v>NC</v>
      </c>
      <c r="B101" s="9" t="s">
        <v>97</v>
      </c>
      <c r="C101" t="s">
        <v>82</v>
      </c>
    </row>
    <row r="102" spans="1:3" ht="20.100000000000001" customHeight="1" x14ac:dyDescent="0.25">
      <c r="A102" t="str">
        <f>IF(AND(OR(B102=1,B102=2,B102=3,B102=4),NOT(OR(B102=B103,B102=B104,B102=B101)))," ","NC")</f>
        <v>NC</v>
      </c>
      <c r="B102" s="9" t="s">
        <v>97</v>
      </c>
      <c r="C102" t="s">
        <v>83</v>
      </c>
    </row>
    <row r="103" spans="1:3" ht="20.100000000000001" customHeight="1" x14ac:dyDescent="0.25">
      <c r="A103" t="str">
        <f>IF(AND(OR(B103=1,B103=2,B103=3,B103=4),NOT(OR(B103=B104,B103=B101,B103=B102)))," ","NC")</f>
        <v>NC</v>
      </c>
      <c r="B103" s="9" t="s">
        <v>97</v>
      </c>
      <c r="C103" t="s">
        <v>84</v>
      </c>
    </row>
    <row r="104" spans="1:3" ht="20.100000000000001" customHeight="1" x14ac:dyDescent="0.25">
      <c r="A104" t="str">
        <f>IF(AND(OR(B104=1,B104=2,B104=3,B104=4),NOT(OR(B104=B101,B104=B102,B104=B103)))," ","NC")</f>
        <v>NC</v>
      </c>
      <c r="B104" s="9" t="s">
        <v>97</v>
      </c>
      <c r="C104" t="s">
        <v>85</v>
      </c>
    </row>
    <row r="105" spans="1:3" ht="20.100000000000001" customHeight="1" x14ac:dyDescent="0.25"/>
    <row r="106" spans="1:3" ht="20.100000000000001" customHeight="1" x14ac:dyDescent="0.25">
      <c r="A106" s="11">
        <f>IF(OR(A107="NC",A108="NC",A109="NC",A110="NC"),1,0)</f>
        <v>1</v>
      </c>
      <c r="B106" s="3" t="s">
        <v>17</v>
      </c>
      <c r="C106" s="4" t="s">
        <v>86</v>
      </c>
    </row>
    <row r="107" spans="1:3" ht="20.100000000000001" customHeight="1" x14ac:dyDescent="0.25">
      <c r="A107" t="str">
        <f>IF(AND(OR(B107=1,B107=2,B107=3,B107=4),NOT(OR(B107=B108,B107=B109,B107=B110)))," ","NC")</f>
        <v>NC</v>
      </c>
      <c r="B107" s="9" t="s">
        <v>97</v>
      </c>
      <c r="C107" t="s">
        <v>87</v>
      </c>
    </row>
    <row r="108" spans="1:3" ht="20.100000000000001" customHeight="1" x14ac:dyDescent="0.25">
      <c r="A108" t="str">
        <f>IF(AND(OR(B108=1,B108=2,B108=3,B108=4),NOT(OR(B108=B109,B108=B110,B108=B107)))," ","NC")</f>
        <v>NC</v>
      </c>
      <c r="B108" s="9" t="s">
        <v>97</v>
      </c>
      <c r="C108" t="s">
        <v>88</v>
      </c>
    </row>
    <row r="109" spans="1:3" ht="20.100000000000001" customHeight="1" x14ac:dyDescent="0.25">
      <c r="A109" t="str">
        <f>IF(AND(OR(B109=1,B109=2,B109=3,B109=4),NOT(OR(B109=B110,B109=B107,B109=B108)))," ","NC")</f>
        <v>NC</v>
      </c>
      <c r="B109" s="9" t="s">
        <v>97</v>
      </c>
      <c r="C109" t="s">
        <v>89</v>
      </c>
    </row>
    <row r="110" spans="1:3" ht="20.100000000000001" customHeight="1" x14ac:dyDescent="0.25">
      <c r="A110" t="str">
        <f>IF(AND(OR(B110=1,B110=2,B110=3,B110=4),NOT(OR(B110=B107,B110=B108,B110=B109)))," ","NC")</f>
        <v>NC</v>
      </c>
      <c r="B110" s="9" t="s">
        <v>97</v>
      </c>
      <c r="C110" t="s">
        <v>90</v>
      </c>
    </row>
    <row r="111" spans="1:3" ht="20.100000000000001" customHeight="1" x14ac:dyDescent="0.25"/>
    <row r="112" spans="1:3" ht="20.100000000000001" customHeight="1" x14ac:dyDescent="0.25">
      <c r="A112" s="11">
        <f>IF(OR(A113="NC",A114="NC",A115="NC",A116="NC"),1,0)</f>
        <v>1</v>
      </c>
      <c r="B112" s="3" t="s">
        <v>18</v>
      </c>
      <c r="C112" s="4" t="s">
        <v>91</v>
      </c>
    </row>
    <row r="113" spans="1:3" ht="20.100000000000001" customHeight="1" x14ac:dyDescent="0.25">
      <c r="A113" t="str">
        <f>IF(AND(OR(B113=1,B113=2,B113=3,B113=4),NOT(OR(B113=B114,B113=B115,B113=B116)))," ","NC")</f>
        <v>NC</v>
      </c>
      <c r="B113" s="9" t="s">
        <v>97</v>
      </c>
      <c r="C113" t="s">
        <v>92</v>
      </c>
    </row>
    <row r="114" spans="1:3" ht="20.100000000000001" customHeight="1" x14ac:dyDescent="0.25">
      <c r="A114" t="str">
        <f>IF(AND(OR(B114=1,B114=2,B114=3,B114=4),NOT(OR(B114=B115,B114=B116,B114=B113)))," ","NC")</f>
        <v>NC</v>
      </c>
      <c r="B114" s="9" t="s">
        <v>97</v>
      </c>
      <c r="C114" t="s">
        <v>366</v>
      </c>
    </row>
    <row r="115" spans="1:3" ht="20.100000000000001" customHeight="1" x14ac:dyDescent="0.25">
      <c r="A115" t="str">
        <f>IF(AND(OR(B115=1,B115=2,B115=3,B115=4),NOT(OR(B115=B116,B115=B113,B115=B114)))," ","NC")</f>
        <v>NC</v>
      </c>
      <c r="B115" s="9" t="s">
        <v>97</v>
      </c>
      <c r="C115" t="s">
        <v>93</v>
      </c>
    </row>
    <row r="116" spans="1:3" ht="20.100000000000001" customHeight="1" x14ac:dyDescent="0.25">
      <c r="A116" t="str">
        <f>IF(AND(OR(B116=1,B116=2,B116=3,B116=4),NOT(OR(B116=B113,B116=B114,B116=B115)))," ","NC")</f>
        <v>NC</v>
      </c>
      <c r="B116" s="9" t="s">
        <v>97</v>
      </c>
      <c r="C116" t="s">
        <v>94</v>
      </c>
    </row>
    <row r="117" spans="1:3" ht="20.100000000000001" customHeight="1" x14ac:dyDescent="0.25"/>
  </sheetData>
  <mergeCells count="47">
    <mergeCell ref="E61:E62"/>
    <mergeCell ref="F61:F62"/>
    <mergeCell ref="G61:G62"/>
    <mergeCell ref="H61:H62"/>
    <mergeCell ref="E63:E64"/>
    <mergeCell ref="F63:F64"/>
    <mergeCell ref="G63:G64"/>
    <mergeCell ref="H63:H64"/>
    <mergeCell ref="E57:H57"/>
    <mergeCell ref="E48:H48"/>
    <mergeCell ref="E47:H47"/>
    <mergeCell ref="E59:E60"/>
    <mergeCell ref="F59:F60"/>
    <mergeCell ref="G59:G60"/>
    <mergeCell ref="H59:H60"/>
    <mergeCell ref="E49:H49"/>
    <mergeCell ref="E53:E54"/>
    <mergeCell ref="F53:F54"/>
    <mergeCell ref="G53:G54"/>
    <mergeCell ref="H53:H54"/>
    <mergeCell ref="E55:E56"/>
    <mergeCell ref="F55:F56"/>
    <mergeCell ref="G55:G56"/>
    <mergeCell ref="H55:H56"/>
    <mergeCell ref="E51:E52"/>
    <mergeCell ref="F51:F52"/>
    <mergeCell ref="G51:G52"/>
    <mergeCell ref="H51:H52"/>
    <mergeCell ref="C3:C8"/>
    <mergeCell ref="A5:A8"/>
    <mergeCell ref="B5:B8"/>
    <mergeCell ref="E11:I15"/>
    <mergeCell ref="E10:I10"/>
    <mergeCell ref="E9:I9"/>
    <mergeCell ref="J2:N2"/>
    <mergeCell ref="K3:N3"/>
    <mergeCell ref="K4:N4"/>
    <mergeCell ref="K5:N5"/>
    <mergeCell ref="E39:I39"/>
    <mergeCell ref="E35:I35"/>
    <mergeCell ref="E36:I37"/>
    <mergeCell ref="E17:I25"/>
    <mergeCell ref="E16:I16"/>
    <mergeCell ref="E26:I26"/>
    <mergeCell ref="E27:I28"/>
    <mergeCell ref="E30:I34"/>
    <mergeCell ref="E29:I29"/>
  </mergeCells>
  <hyperlinks>
    <hyperlink ref="K3" r:id="rId1" display="bucinelr@union.edu"/>
    <hyperlink ref="K4" r:id="rId2" display="bucinelr@union.edu"/>
  </hyperlinks>
  <pageMargins left="0.7" right="0.7" top="0.75" bottom="0.75" header="0.3" footer="0.3"/>
  <drawing r:id="rId3"/>
  <legacyDrawing r:id="rId4"/>
  <controls>
    <mc:AlternateContent xmlns:mc="http://schemas.openxmlformats.org/markup-compatibility/2006">
      <mc:Choice Requires="x14">
        <control shapeId="1025" r:id="rId5" name="CDcon">
          <controlPr defaultSize="0" autoFill="0" autoLine="0" r:id="rId6">
            <anchor moveWithCells="1">
              <from>
                <xdr:col>4</xdr:col>
                <xdr:colOff>238125</xdr:colOff>
                <xdr:row>2</xdr:row>
                <xdr:rowOff>9525</xdr:rowOff>
              </from>
              <to>
                <xdr:col>4</xdr:col>
                <xdr:colOff>1504950</xdr:colOff>
                <xdr:row>3</xdr:row>
                <xdr:rowOff>9525</xdr:rowOff>
              </to>
            </anchor>
          </controlPr>
        </control>
      </mc:Choice>
      <mc:Fallback>
        <control shapeId="1025" r:id="rId5" name="CDcon"/>
      </mc:Fallback>
    </mc:AlternateContent>
    <mc:AlternateContent xmlns:mc="http://schemas.openxmlformats.org/markup-compatibility/2006">
      <mc:Choice Requires="x14">
        <control shapeId="1026" r:id="rId7" name="CBcol">
          <controlPr defaultSize="0" autoFill="0" autoLine="0" r:id="rId8">
            <anchor moveWithCells="1">
              <from>
                <xdr:col>5</xdr:col>
                <xdr:colOff>266700</xdr:colOff>
                <xdr:row>2</xdr:row>
                <xdr:rowOff>9525</xdr:rowOff>
              </from>
              <to>
                <xdr:col>5</xdr:col>
                <xdr:colOff>1533525</xdr:colOff>
                <xdr:row>3</xdr:row>
                <xdr:rowOff>9525</xdr:rowOff>
              </to>
            </anchor>
          </controlPr>
        </control>
      </mc:Choice>
      <mc:Fallback>
        <control shapeId="1026" r:id="rId7" name="CBcol"/>
      </mc:Fallback>
    </mc:AlternateContent>
    <mc:AlternateContent xmlns:mc="http://schemas.openxmlformats.org/markup-compatibility/2006">
      <mc:Choice Requires="x14">
        <control shapeId="1028" r:id="rId9" name="CBcom">
          <controlPr defaultSize="0" autoFill="0" autoLine="0" r:id="rId10">
            <anchor moveWithCells="1">
              <from>
                <xdr:col>6</xdr:col>
                <xdr:colOff>228600</xdr:colOff>
                <xdr:row>2</xdr:row>
                <xdr:rowOff>9525</xdr:rowOff>
              </from>
              <to>
                <xdr:col>6</xdr:col>
                <xdr:colOff>1495425</xdr:colOff>
                <xdr:row>3</xdr:row>
                <xdr:rowOff>9525</xdr:rowOff>
              </to>
            </anchor>
          </controlPr>
        </control>
      </mc:Choice>
      <mc:Fallback>
        <control shapeId="1028" r:id="rId9" name="CBcom"/>
      </mc:Fallback>
    </mc:AlternateContent>
    <mc:AlternateContent xmlns:mc="http://schemas.openxmlformats.org/markup-compatibility/2006">
      <mc:Choice Requires="x14">
        <control shapeId="1030" r:id="rId11" name="CBcha">
          <controlPr defaultSize="0" autoFill="0" autoLine="0" r:id="rId12">
            <anchor moveWithCells="1">
              <from>
                <xdr:col>7</xdr:col>
                <xdr:colOff>228600</xdr:colOff>
                <xdr:row>2</xdr:row>
                <xdr:rowOff>9525</xdr:rowOff>
              </from>
              <to>
                <xdr:col>7</xdr:col>
                <xdr:colOff>1495425</xdr:colOff>
                <xdr:row>3</xdr:row>
                <xdr:rowOff>9525</xdr:rowOff>
              </to>
            </anchor>
          </controlPr>
        </control>
      </mc:Choice>
      <mc:Fallback>
        <control shapeId="1030" r:id="rId11" name="CBcha"/>
      </mc:Fallback>
    </mc:AlternateContent>
    <mc:AlternateContent xmlns:mc="http://schemas.openxmlformats.org/markup-compatibility/2006">
      <mc:Choice Requires="x14">
        <control shapeId="1032" r:id="rId13" name="CBclear">
          <controlPr defaultSize="0" autoFill="0" autoLine="0" r:id="rId14">
            <anchor moveWithCells="1">
              <from>
                <xdr:col>8</xdr:col>
                <xdr:colOff>57150</xdr:colOff>
                <xdr:row>2</xdr:row>
                <xdr:rowOff>0</xdr:rowOff>
              </from>
              <to>
                <xdr:col>8</xdr:col>
                <xdr:colOff>1323975</xdr:colOff>
                <xdr:row>3</xdr:row>
                <xdr:rowOff>0</xdr:rowOff>
              </to>
            </anchor>
          </controlPr>
        </control>
      </mc:Choice>
      <mc:Fallback>
        <control shapeId="1032" r:id="rId13" name="CBclear"/>
      </mc:Fallback>
    </mc:AlternateContent>
    <mc:AlternateContent xmlns:mc="http://schemas.openxmlformats.org/markup-compatibility/2006">
      <mc:Choice Requires="x14">
        <control shapeId="1033" r:id="rId15" name="CBreset">
          <controlPr defaultSize="0" autoFill="0" autoLine="0" r:id="rId16">
            <anchor moveWithCells="1">
              <from>
                <xdr:col>0</xdr:col>
                <xdr:colOff>38100</xdr:colOff>
                <xdr:row>2</xdr:row>
                <xdr:rowOff>247650</xdr:rowOff>
              </from>
              <to>
                <xdr:col>1</xdr:col>
                <xdr:colOff>542925</xdr:colOff>
                <xdr:row>3</xdr:row>
                <xdr:rowOff>333375</xdr:rowOff>
              </to>
            </anchor>
          </controlPr>
        </control>
      </mc:Choice>
      <mc:Fallback>
        <control shapeId="1033" r:id="rId15" name="CBreset"/>
      </mc:Fallback>
    </mc:AlternateContent>
    <mc:AlternateContent xmlns:mc="http://schemas.openxmlformats.org/markup-compatibility/2006">
      <mc:Choice Requires="x14">
        <control shapeId="1034" r:id="rId17" name="CB_TP_send">
          <controlPr defaultSize="0" autoFill="0" autoLine="0" r:id="rId18">
            <anchor moveWithCells="1">
              <from>
                <xdr:col>8</xdr:col>
                <xdr:colOff>76200</xdr:colOff>
                <xdr:row>3</xdr:row>
                <xdr:rowOff>57150</xdr:rowOff>
              </from>
              <to>
                <xdr:col>8</xdr:col>
                <xdr:colOff>1314450</xdr:colOff>
                <xdr:row>4</xdr:row>
                <xdr:rowOff>333375</xdr:rowOff>
              </to>
            </anchor>
          </controlPr>
        </control>
      </mc:Choice>
      <mc:Fallback>
        <control shapeId="1034" r:id="rId17" name="CB_TP_se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33"/>
  <sheetViews>
    <sheetView workbookViewId="0">
      <pane ySplit="8" topLeftCell="A9" activePane="bottomLeft" state="frozen"/>
      <selection pane="bottomLeft" activeCell="E1" sqref="E1"/>
    </sheetView>
  </sheetViews>
  <sheetFormatPr defaultRowHeight="15.75" x14ac:dyDescent="0.25"/>
  <cols>
    <col min="1" max="1" width="4.140625" style="22" customWidth="1"/>
    <col min="2" max="2" width="82.42578125" style="24" customWidth="1"/>
    <col min="3" max="3" width="3.85546875" style="54" customWidth="1"/>
    <col min="12" max="12" width="8.85546875" customWidth="1"/>
    <col min="13" max="13" width="91.42578125" customWidth="1"/>
  </cols>
  <sheetData>
    <row r="1" spans="1:14" ht="18.75" x14ac:dyDescent="0.3">
      <c r="B1" s="73" t="s">
        <v>155</v>
      </c>
      <c r="M1" s="66" t="s">
        <v>151</v>
      </c>
    </row>
    <row r="2" spans="1:14" ht="16.5" thickBot="1" x14ac:dyDescent="0.3">
      <c r="B2" s="69" t="s">
        <v>96</v>
      </c>
      <c r="D2" s="25"/>
      <c r="E2" s="25"/>
      <c r="F2" s="25"/>
      <c r="G2" s="25"/>
      <c r="H2" s="25"/>
      <c r="I2" s="25"/>
      <c r="J2" s="25"/>
      <c r="K2" s="25"/>
      <c r="L2" s="65" t="s">
        <v>152</v>
      </c>
      <c r="M2" s="68" t="s">
        <v>97</v>
      </c>
    </row>
    <row r="3" spans="1:14" x14ac:dyDescent="0.25">
      <c r="B3" s="126" t="s">
        <v>162</v>
      </c>
      <c r="C3" s="55"/>
      <c r="D3" s="117" t="s">
        <v>134</v>
      </c>
      <c r="E3" s="118"/>
      <c r="F3" s="120" t="s">
        <v>135</v>
      </c>
      <c r="G3" s="121"/>
      <c r="H3" s="120" t="s">
        <v>136</v>
      </c>
      <c r="I3" s="121"/>
      <c r="J3" s="120" t="s">
        <v>137</v>
      </c>
      <c r="K3" s="121"/>
      <c r="L3" s="65" t="s">
        <v>153</v>
      </c>
      <c r="M3" s="68" t="s">
        <v>97</v>
      </c>
    </row>
    <row r="4" spans="1:14" x14ac:dyDescent="0.25">
      <c r="B4" s="126"/>
      <c r="C4" s="55"/>
      <c r="D4" s="118"/>
      <c r="E4" s="118"/>
      <c r="F4" s="122"/>
      <c r="G4" s="123"/>
      <c r="H4" s="122"/>
      <c r="I4" s="123"/>
      <c r="J4" s="122"/>
      <c r="K4" s="123"/>
      <c r="L4" s="65" t="s">
        <v>154</v>
      </c>
      <c r="M4" s="67" t="s">
        <v>97</v>
      </c>
    </row>
    <row r="5" spans="1:14" x14ac:dyDescent="0.25">
      <c r="B5" s="126"/>
      <c r="C5" s="55"/>
      <c r="D5" s="118"/>
      <c r="E5" s="118"/>
      <c r="F5" s="122"/>
      <c r="G5" s="123"/>
      <c r="H5" s="122"/>
      <c r="I5" s="123"/>
      <c r="J5" s="122"/>
      <c r="K5" s="123"/>
    </row>
    <row r="6" spans="1:14" x14ac:dyDescent="0.25">
      <c r="B6" s="126"/>
      <c r="C6" s="55"/>
      <c r="D6" s="118"/>
      <c r="E6" s="118"/>
      <c r="F6" s="122"/>
      <c r="G6" s="123"/>
      <c r="H6" s="122"/>
      <c r="I6" s="123"/>
      <c r="J6" s="122"/>
      <c r="K6" s="123"/>
    </row>
    <row r="7" spans="1:14" ht="16.5" thickBot="1" x14ac:dyDescent="0.3">
      <c r="C7" s="55"/>
      <c r="D7" s="119"/>
      <c r="E7" s="119"/>
      <c r="F7" s="124"/>
      <c r="G7" s="125"/>
      <c r="H7" s="124"/>
      <c r="I7" s="125"/>
      <c r="J7" s="124"/>
      <c r="K7" s="125"/>
      <c r="L7" s="40"/>
      <c r="M7" s="25"/>
    </row>
    <row r="8" spans="1:14" ht="24" customHeight="1" thickBot="1" x14ac:dyDescent="0.3">
      <c r="A8" s="26"/>
      <c r="B8" s="27"/>
      <c r="C8" s="60">
        <f>SUM(C10,C12,C14,C16,C18,C20,C22,C24,C26,C28,C30,C32)</f>
        <v>12</v>
      </c>
      <c r="D8" s="44">
        <v>1</v>
      </c>
      <c r="E8" s="36">
        <v>2</v>
      </c>
      <c r="F8" s="37">
        <v>3</v>
      </c>
      <c r="G8" s="45">
        <v>4</v>
      </c>
      <c r="H8" s="37">
        <v>5</v>
      </c>
      <c r="I8" s="45">
        <v>6</v>
      </c>
      <c r="J8" s="44">
        <v>7</v>
      </c>
      <c r="K8" s="36">
        <v>8</v>
      </c>
      <c r="L8" s="41"/>
      <c r="M8" s="35" t="s">
        <v>150</v>
      </c>
    </row>
    <row r="9" spans="1:14" s="20" customFormat="1" ht="69.95" customHeight="1" thickBot="1" x14ac:dyDescent="0.3">
      <c r="A9" s="32" t="s">
        <v>1</v>
      </c>
      <c r="B9" s="71" t="s">
        <v>138</v>
      </c>
      <c r="C9" s="43" t="b">
        <v>1</v>
      </c>
      <c r="D9" s="42" t="b">
        <v>0</v>
      </c>
      <c r="E9" s="46" t="b">
        <v>0</v>
      </c>
      <c r="F9" s="47" t="b">
        <v>0</v>
      </c>
      <c r="G9" s="48" t="b">
        <v>0</v>
      </c>
      <c r="H9" s="49" t="b">
        <v>0</v>
      </c>
      <c r="I9" s="46" t="b">
        <v>0</v>
      </c>
      <c r="J9" s="47" t="b">
        <v>0</v>
      </c>
      <c r="K9" s="48" t="b">
        <v>0</v>
      </c>
      <c r="L9" s="64" t="str">
        <f>IF(C8=0,IF(D9=TRUE,1,IF(E9=TRUE,2,IF(F9=TRUE,3,IF(G9=TRUE,4,IF(H9=TRUE,5,IF(I9=TRUE,6,IF(J9=TRUE,7,IF(K9=TRUE,8," "))))))))," ")</f>
        <v xml:space="preserve"> </v>
      </c>
      <c r="M9" s="56" t="s">
        <v>97</v>
      </c>
    </row>
    <row r="10" spans="1:14" s="20" customFormat="1" ht="20.100000000000001" customHeight="1" thickBot="1" x14ac:dyDescent="0.3">
      <c r="A10" s="28" t="s">
        <v>97</v>
      </c>
      <c r="B10" s="29"/>
      <c r="C10" s="61">
        <f>IF(C9=TRUE,1,0)</f>
        <v>1</v>
      </c>
      <c r="D10" s="34"/>
      <c r="E10" s="30"/>
      <c r="F10" s="34"/>
      <c r="G10" s="30"/>
      <c r="H10" s="34"/>
      <c r="I10" s="30"/>
      <c r="J10" s="34"/>
      <c r="K10" s="30"/>
      <c r="L10" s="34"/>
      <c r="M10" s="39"/>
      <c r="N10" s="39"/>
    </row>
    <row r="11" spans="1:14" s="20" customFormat="1" ht="69.95" customHeight="1" thickBot="1" x14ac:dyDescent="0.3">
      <c r="A11" s="21" t="s">
        <v>2</v>
      </c>
      <c r="B11" s="72" t="s">
        <v>139</v>
      </c>
      <c r="C11" s="50" t="b">
        <v>1</v>
      </c>
      <c r="D11" s="51" t="b">
        <v>0</v>
      </c>
      <c r="E11" s="46" t="b">
        <v>0</v>
      </c>
      <c r="F11" s="51" t="b">
        <v>0</v>
      </c>
      <c r="G11" s="46" t="b">
        <v>0</v>
      </c>
      <c r="H11" s="47" t="b">
        <v>0</v>
      </c>
      <c r="I11" s="52" t="b">
        <v>0</v>
      </c>
      <c r="J11" s="51" t="b">
        <v>0</v>
      </c>
      <c r="K11" s="46" t="b">
        <v>0</v>
      </c>
      <c r="L11" s="64" t="str">
        <f>IF(C8=0,IF(D11=TRUE,1,IF(E11=TRUE,2,IF(F11=TRUE,3,IF(G11=TRUE,4,IF(H11=TRUE,5,IF(I11=TRUE,6,IF(J11=TRUE,7,IF(K11=TRUE,8," "))))))))," ")</f>
        <v xml:space="preserve"> </v>
      </c>
      <c r="M11" s="57" t="s">
        <v>97</v>
      </c>
    </row>
    <row r="12" spans="1:14" s="20" customFormat="1" ht="20.100000000000001" customHeight="1" thickBot="1" x14ac:dyDescent="0.3">
      <c r="A12" s="31" t="s">
        <v>97</v>
      </c>
      <c r="B12" s="33"/>
      <c r="C12" s="61">
        <f>IF(C11=TRUE,1,0)</f>
        <v>1</v>
      </c>
      <c r="D12" s="34"/>
      <c r="E12" s="34"/>
      <c r="F12" s="34"/>
      <c r="G12" s="34"/>
      <c r="H12" s="34"/>
      <c r="I12" s="34"/>
      <c r="J12" s="34"/>
      <c r="K12" s="34"/>
      <c r="L12" s="38"/>
      <c r="M12" s="34"/>
      <c r="N12" s="39"/>
    </row>
    <row r="13" spans="1:14" s="20" customFormat="1" ht="69.95" customHeight="1" thickBot="1" x14ac:dyDescent="0.3">
      <c r="A13" s="32" t="s">
        <v>3</v>
      </c>
      <c r="B13" s="71" t="s">
        <v>140</v>
      </c>
      <c r="C13" s="53" t="b">
        <v>1</v>
      </c>
      <c r="D13" s="49" t="b">
        <v>0</v>
      </c>
      <c r="E13" s="46" t="b">
        <v>0</v>
      </c>
      <c r="F13" s="47" t="b">
        <v>0</v>
      </c>
      <c r="G13" s="48" t="b">
        <v>0</v>
      </c>
      <c r="H13" s="49" t="b">
        <v>0</v>
      </c>
      <c r="I13" s="46" t="b">
        <v>0</v>
      </c>
      <c r="J13" s="49" t="b">
        <v>0</v>
      </c>
      <c r="K13" s="46" t="b">
        <v>0</v>
      </c>
      <c r="L13" s="64" t="str">
        <f>IF(C8=0,IF(D13=TRUE,1,IF(E13=TRUE,2,IF(F13=TRUE,3,IF(G13=TRUE,4,IF(H13=TRUE,5,IF(I13=TRUE,6,IF(J13=TRUE,7,IF(K13=TRUE,8," "))))))))," ")</f>
        <v xml:space="preserve"> </v>
      </c>
      <c r="M13" s="57" t="s">
        <v>97</v>
      </c>
    </row>
    <row r="14" spans="1:14" s="20" customFormat="1" ht="20.100000000000001" customHeight="1" thickBot="1" x14ac:dyDescent="0.3">
      <c r="A14" s="28" t="s">
        <v>97</v>
      </c>
      <c r="B14" s="29"/>
      <c r="C14" s="61">
        <f>IF(C13=TRUE,1,0)</f>
        <v>1</v>
      </c>
      <c r="D14" s="34"/>
      <c r="E14" s="30"/>
      <c r="F14" s="34"/>
      <c r="G14" s="34"/>
      <c r="H14" s="30"/>
      <c r="I14" s="30"/>
      <c r="J14" s="34"/>
      <c r="K14" s="34"/>
      <c r="L14" s="38"/>
      <c r="M14" s="34"/>
      <c r="N14" s="39"/>
    </row>
    <row r="15" spans="1:14" s="20" customFormat="1" ht="69.95" customHeight="1" thickBot="1" x14ac:dyDescent="0.3">
      <c r="A15" s="31" t="s">
        <v>4</v>
      </c>
      <c r="B15" s="71" t="s">
        <v>141</v>
      </c>
      <c r="C15" s="53" t="b">
        <v>1</v>
      </c>
      <c r="D15" s="49" t="b">
        <v>0</v>
      </c>
      <c r="E15" s="46" t="b">
        <v>0</v>
      </c>
      <c r="F15" s="49" t="b">
        <v>0</v>
      </c>
      <c r="G15" s="46" t="b">
        <v>0</v>
      </c>
      <c r="H15" s="49" t="b">
        <v>0</v>
      </c>
      <c r="I15" s="46" t="b">
        <v>0</v>
      </c>
      <c r="J15" s="49" t="b">
        <v>0</v>
      </c>
      <c r="K15" s="46" t="b">
        <v>0</v>
      </c>
      <c r="L15" s="64" t="str">
        <f>IF(C8=0,IF(D15=TRUE,1,IF(E15=TRUE,2,IF(F15=TRUE,3,IF(G15=TRUE,4,IF(H15=TRUE,5,IF(I15=TRUE,6,IF(J15=TRUE,7,IF(K15=TRUE,8," "))))))))," ")</f>
        <v xml:space="preserve"> </v>
      </c>
      <c r="M15" s="58" t="s">
        <v>97</v>
      </c>
    </row>
    <row r="16" spans="1:14" s="20" customFormat="1" ht="20.100000000000001" customHeight="1" thickBot="1" x14ac:dyDescent="0.3">
      <c r="A16" s="28" t="s">
        <v>97</v>
      </c>
      <c r="B16" s="29"/>
      <c r="C16" s="61">
        <f>IF(C15=TRUE,1,0)</f>
        <v>1</v>
      </c>
      <c r="D16" s="30"/>
      <c r="E16" s="30"/>
      <c r="F16" s="34"/>
      <c r="G16" s="34"/>
      <c r="H16" s="30"/>
      <c r="I16" s="30"/>
      <c r="J16" s="34"/>
      <c r="K16" s="34"/>
      <c r="L16" s="38"/>
      <c r="M16" s="34"/>
    </row>
    <row r="17" spans="1:14" s="20" customFormat="1" ht="69.95" customHeight="1" thickBot="1" x14ac:dyDescent="0.3">
      <c r="A17" s="21" t="s">
        <v>5</v>
      </c>
      <c r="B17" s="72" t="s">
        <v>142</v>
      </c>
      <c r="C17" s="50" t="b">
        <v>1</v>
      </c>
      <c r="D17" s="51" t="b">
        <v>0</v>
      </c>
      <c r="E17" s="46" t="b">
        <v>0</v>
      </c>
      <c r="F17" s="51" t="b">
        <v>0</v>
      </c>
      <c r="G17" s="46" t="b">
        <v>0</v>
      </c>
      <c r="H17" s="51" t="b">
        <v>0</v>
      </c>
      <c r="I17" s="46" t="b">
        <v>0</v>
      </c>
      <c r="J17" s="47" t="b">
        <v>0</v>
      </c>
      <c r="K17" s="52" t="b">
        <v>0</v>
      </c>
      <c r="L17" s="64" t="str">
        <f>IF(C8=0,IF(D17=TRUE,1,IF(E17=TRUE,2,IF(F17=TRUE,3,IF(G17=TRUE,4,IF(H17=TRUE,5,IF(I17=TRUE,6,IF(J17=TRUE,7,IF(K17=TRUE,8," "))))))))," ")</f>
        <v xml:space="preserve"> </v>
      </c>
      <c r="M17" s="57" t="s">
        <v>97</v>
      </c>
    </row>
    <row r="18" spans="1:14" s="20" customFormat="1" ht="20.100000000000001" customHeight="1" thickBot="1" x14ac:dyDescent="0.3">
      <c r="A18" s="31" t="s">
        <v>97</v>
      </c>
      <c r="B18" s="33"/>
      <c r="C18" s="61">
        <f>IF(C17=TRUE,1,0)</f>
        <v>1</v>
      </c>
      <c r="D18" s="34"/>
      <c r="E18" s="34"/>
      <c r="F18" s="34"/>
      <c r="G18" s="34"/>
      <c r="H18" s="34"/>
      <c r="I18" s="34"/>
      <c r="J18" s="34"/>
      <c r="K18" s="34"/>
      <c r="L18" s="34"/>
      <c r="M18" s="34"/>
      <c r="N18" s="39"/>
    </row>
    <row r="19" spans="1:14" s="20" customFormat="1" ht="69.95" customHeight="1" thickBot="1" x14ac:dyDescent="0.3">
      <c r="A19" s="32" t="s">
        <v>6</v>
      </c>
      <c r="B19" s="71" t="s">
        <v>143</v>
      </c>
      <c r="C19" s="53" t="b">
        <v>1</v>
      </c>
      <c r="D19" s="49" t="b">
        <v>0</v>
      </c>
      <c r="E19" s="46" t="b">
        <v>0</v>
      </c>
      <c r="F19" s="49" t="b">
        <v>0</v>
      </c>
      <c r="G19" s="46" t="b">
        <v>0</v>
      </c>
      <c r="H19" s="47" t="b">
        <v>0</v>
      </c>
      <c r="I19" s="48" t="b">
        <v>0</v>
      </c>
      <c r="J19" s="49" t="b">
        <v>0</v>
      </c>
      <c r="K19" s="46" t="b">
        <v>0</v>
      </c>
      <c r="L19" s="64" t="str">
        <f>IF(C8=0,IF(D19=TRUE,1,IF(E19=TRUE,2,IF(F19=TRUE,3,IF(G19=TRUE,4,IF(H19=TRUE,5,IF(I19=TRUE,6,IF(J19=TRUE,7,IF(K19=TRUE,8," "))))))))," ")</f>
        <v xml:space="preserve"> </v>
      </c>
      <c r="M19" s="58" t="s">
        <v>97</v>
      </c>
    </row>
    <row r="20" spans="1:14" s="20" customFormat="1" ht="20.100000000000001" customHeight="1" thickBot="1" x14ac:dyDescent="0.3">
      <c r="A20" s="28" t="s">
        <v>97</v>
      </c>
      <c r="B20" s="29"/>
      <c r="C20" s="61">
        <f>IF(C19=TRUE,1,0)</f>
        <v>1</v>
      </c>
      <c r="D20" s="30"/>
      <c r="E20" s="30"/>
      <c r="F20" s="34"/>
      <c r="G20" s="30"/>
      <c r="H20" s="34"/>
      <c r="I20" s="34"/>
      <c r="J20" s="30"/>
      <c r="K20" s="30"/>
      <c r="L20" s="34"/>
      <c r="M20" s="34"/>
      <c r="N20" s="39"/>
    </row>
    <row r="21" spans="1:14" s="20" customFormat="1" ht="69.95" customHeight="1" thickBot="1" x14ac:dyDescent="0.3">
      <c r="A21" s="32" t="s">
        <v>7</v>
      </c>
      <c r="B21" s="71" t="s">
        <v>144</v>
      </c>
      <c r="C21" s="53" t="b">
        <v>1</v>
      </c>
      <c r="D21" s="47" t="b">
        <v>0</v>
      </c>
      <c r="E21" s="48" t="b">
        <v>0</v>
      </c>
      <c r="F21" s="49" t="b">
        <v>0</v>
      </c>
      <c r="G21" s="46" t="b">
        <v>0</v>
      </c>
      <c r="H21" s="49" t="b">
        <v>0</v>
      </c>
      <c r="I21" s="46" t="b">
        <v>0</v>
      </c>
      <c r="J21" s="49" t="b">
        <v>0</v>
      </c>
      <c r="K21" s="46" t="b">
        <v>0</v>
      </c>
      <c r="L21" s="64" t="str">
        <f>IF(C8=0,IF(D21=TRUE,1,IF(E21=TRUE,2,IF(F21=TRUE,3,IF(G21=TRUE,4,IF(H21=TRUE,5,IF(I21=TRUE,6,IF(J21=TRUE,7,IF(K21=TRUE,8," "))))))))," ")</f>
        <v xml:space="preserve"> </v>
      </c>
      <c r="M21" s="57" t="s">
        <v>97</v>
      </c>
    </row>
    <row r="22" spans="1:14" s="20" customFormat="1" ht="20.100000000000001" customHeight="1" thickBot="1" x14ac:dyDescent="0.3">
      <c r="A22" s="28" t="s">
        <v>97</v>
      </c>
      <c r="B22" s="29"/>
      <c r="C22" s="61">
        <f>IF(C21=TRUE,1,0)</f>
        <v>1</v>
      </c>
      <c r="D22" s="34"/>
      <c r="E22" s="34"/>
      <c r="F22" s="30"/>
      <c r="G22" s="30"/>
      <c r="H22" s="34"/>
      <c r="I22" s="30"/>
      <c r="J22" s="34"/>
      <c r="K22" s="30"/>
      <c r="L22" s="34"/>
      <c r="M22" s="34"/>
      <c r="N22" s="39"/>
    </row>
    <row r="23" spans="1:14" s="20" customFormat="1" ht="69.95" customHeight="1" thickBot="1" x14ac:dyDescent="0.3">
      <c r="A23" s="32" t="s">
        <v>8</v>
      </c>
      <c r="B23" s="71" t="s">
        <v>145</v>
      </c>
      <c r="C23" s="53" t="b">
        <v>1</v>
      </c>
      <c r="D23" s="49" t="b">
        <v>0</v>
      </c>
      <c r="E23" s="46" t="b">
        <v>0</v>
      </c>
      <c r="F23" s="47" t="b">
        <v>0</v>
      </c>
      <c r="G23" s="48" t="b">
        <v>0</v>
      </c>
      <c r="H23" s="49" t="b">
        <v>0</v>
      </c>
      <c r="I23" s="46" t="b">
        <v>0</v>
      </c>
      <c r="J23" s="49" t="b">
        <v>0</v>
      </c>
      <c r="K23" s="46" t="b">
        <v>0</v>
      </c>
      <c r="L23" s="64" t="str">
        <f>IF(C8=0,IF(D23=TRUE,1,IF(E23=TRUE,2,IF(F23=TRUE,3,IF(G23=TRUE,4,IF(H23=TRUE,5,IF(I23=TRUE,6,IF(J23=TRUE,7,IF(K23=TRUE,8," "))))))))," ")</f>
        <v xml:space="preserve"> </v>
      </c>
      <c r="M23" s="57" t="s">
        <v>97</v>
      </c>
    </row>
    <row r="24" spans="1:14" s="20" customFormat="1" ht="20.100000000000001" customHeight="1" thickBot="1" x14ac:dyDescent="0.3">
      <c r="A24" s="28" t="s">
        <v>97</v>
      </c>
      <c r="B24" s="29"/>
      <c r="C24" s="61">
        <f>IF(C23=TRUE,1,0)</f>
        <v>1</v>
      </c>
      <c r="D24" s="34"/>
      <c r="E24" s="34"/>
      <c r="F24" s="30"/>
      <c r="G24" s="30"/>
      <c r="H24" s="34"/>
      <c r="I24" s="30"/>
      <c r="J24" s="34"/>
      <c r="K24" s="34"/>
      <c r="L24" s="34"/>
      <c r="M24" s="34"/>
      <c r="N24" s="39"/>
    </row>
    <row r="25" spans="1:14" s="20" customFormat="1" ht="69.95" customHeight="1" thickBot="1" x14ac:dyDescent="0.3">
      <c r="A25" s="32" t="s">
        <v>9</v>
      </c>
      <c r="B25" s="71" t="s">
        <v>146</v>
      </c>
      <c r="C25" s="53" t="b">
        <v>1</v>
      </c>
      <c r="D25" s="49" t="b">
        <v>0</v>
      </c>
      <c r="E25" s="46" t="b">
        <v>0</v>
      </c>
      <c r="F25" s="49" t="b">
        <v>0</v>
      </c>
      <c r="G25" s="46" t="b">
        <v>0</v>
      </c>
      <c r="H25" s="47" t="b">
        <v>0</v>
      </c>
      <c r="I25" s="48" t="b">
        <v>0</v>
      </c>
      <c r="J25" s="47" t="b">
        <v>0</v>
      </c>
      <c r="K25" s="48" t="b">
        <v>0</v>
      </c>
      <c r="L25" s="64" t="str">
        <f>IF(C8=0,IF(D25=TRUE,1,IF(E25=TRUE,2,IF(F25=TRUE,3,IF(G25=TRUE,4,IF(H25=TRUE,5,IF(I25=TRUE,6,IF(J25=TRUE,7,IF(K25=TRUE,8," "))))))))," ")</f>
        <v xml:space="preserve"> </v>
      </c>
      <c r="M25" s="57" t="s">
        <v>97</v>
      </c>
    </row>
    <row r="26" spans="1:14" s="20" customFormat="1" ht="20.100000000000001" customHeight="1" thickBot="1" x14ac:dyDescent="0.3">
      <c r="A26" s="28" t="s">
        <v>97</v>
      </c>
      <c r="B26" s="29"/>
      <c r="C26" s="61">
        <f>IF(C25=TRUE,1,0)</f>
        <v>1</v>
      </c>
      <c r="D26" s="30"/>
      <c r="E26" s="34"/>
      <c r="F26" s="30"/>
      <c r="G26" s="30"/>
      <c r="H26" s="34"/>
      <c r="I26" s="30"/>
      <c r="J26" s="34"/>
      <c r="K26" s="30"/>
      <c r="L26" s="34"/>
      <c r="M26" s="34"/>
    </row>
    <row r="27" spans="1:14" s="20" customFormat="1" ht="69.95" customHeight="1" thickBot="1" x14ac:dyDescent="0.3">
      <c r="A27" s="32" t="s">
        <v>10</v>
      </c>
      <c r="B27" s="71" t="s">
        <v>147</v>
      </c>
      <c r="C27" s="53" t="b">
        <v>1</v>
      </c>
      <c r="D27" s="49" t="b">
        <v>0</v>
      </c>
      <c r="E27" s="46" t="b">
        <v>0</v>
      </c>
      <c r="F27" s="49" t="b">
        <v>0</v>
      </c>
      <c r="G27" s="46" t="b">
        <v>0</v>
      </c>
      <c r="H27" s="49" t="b">
        <v>0</v>
      </c>
      <c r="I27" s="46" t="b">
        <v>0</v>
      </c>
      <c r="J27" s="47" t="b">
        <v>0</v>
      </c>
      <c r="K27" s="48" t="b">
        <v>0</v>
      </c>
      <c r="L27" s="64" t="str">
        <f>IF(C8=0,IF(D27=TRUE,1,IF(E27=TRUE,2,IF(F27=TRUE,3,IF(G27=TRUE,4,IF(H27=TRUE,5,IF(I27=TRUE,6,IF(J27=TRUE,7,IF(K27=TRUE,8," "))))))))," ")</f>
        <v xml:space="preserve"> </v>
      </c>
      <c r="M27" s="57" t="s">
        <v>97</v>
      </c>
    </row>
    <row r="28" spans="1:14" s="20" customFormat="1" ht="20.100000000000001" customHeight="1" thickBot="1" x14ac:dyDescent="0.3">
      <c r="A28" s="28" t="s">
        <v>97</v>
      </c>
      <c r="B28" s="29"/>
      <c r="C28" s="61">
        <f>IF(C27=TRUE,1,0)</f>
        <v>1</v>
      </c>
      <c r="D28" s="30"/>
      <c r="E28" s="30"/>
      <c r="F28" s="34"/>
      <c r="G28" s="34"/>
      <c r="H28" s="30"/>
      <c r="I28" s="30"/>
      <c r="J28" s="34"/>
      <c r="K28" s="30"/>
      <c r="L28" s="34"/>
      <c r="M28" s="34"/>
    </row>
    <row r="29" spans="1:14" s="20" customFormat="1" ht="69.95" customHeight="1" thickBot="1" x14ac:dyDescent="0.3">
      <c r="A29" s="32" t="s">
        <v>11</v>
      </c>
      <c r="B29" s="71" t="s">
        <v>148</v>
      </c>
      <c r="C29" s="53" t="b">
        <v>1</v>
      </c>
      <c r="D29" s="49" t="b">
        <v>0</v>
      </c>
      <c r="E29" s="46" t="b">
        <v>0</v>
      </c>
      <c r="F29" s="49" t="b">
        <v>0</v>
      </c>
      <c r="G29" s="46" t="b">
        <v>0</v>
      </c>
      <c r="H29" s="49" t="b">
        <v>0</v>
      </c>
      <c r="I29" s="46" t="b">
        <v>0</v>
      </c>
      <c r="J29" s="49" t="b">
        <v>0</v>
      </c>
      <c r="K29" s="46" t="b">
        <v>0</v>
      </c>
      <c r="L29" s="64" t="str">
        <f>IF(C8=0,IF(D29=TRUE,1,IF(E29=TRUE,2,IF(F29=TRUE,3,IF(G29=TRUE,4,IF(H29=TRUE,5,IF(I29=TRUE,6,IF(J29=TRUE,7,IF(K29=TRUE,8," "))))))))," ")</f>
        <v xml:space="preserve"> </v>
      </c>
      <c r="M29" s="56" t="s">
        <v>97</v>
      </c>
    </row>
    <row r="30" spans="1:14" s="20" customFormat="1" ht="20.100000000000001" customHeight="1" thickBot="1" x14ac:dyDescent="0.3">
      <c r="A30" s="28" t="s">
        <v>97</v>
      </c>
      <c r="B30" s="29"/>
      <c r="C30" s="61">
        <f>IF(C29=TRUE,1,0)</f>
        <v>1</v>
      </c>
      <c r="D30" s="30"/>
      <c r="E30" s="30"/>
      <c r="F30" s="34"/>
      <c r="G30" s="34"/>
      <c r="H30" s="30"/>
      <c r="I30" s="30"/>
      <c r="J30" s="34"/>
      <c r="K30" s="34"/>
      <c r="L30" s="38"/>
      <c r="M30" s="34"/>
      <c r="N30" s="39"/>
    </row>
    <row r="31" spans="1:14" s="20" customFormat="1" ht="69.95" customHeight="1" thickBot="1" x14ac:dyDescent="0.3">
      <c r="A31" s="32" t="s">
        <v>12</v>
      </c>
      <c r="B31" s="71" t="s">
        <v>149</v>
      </c>
      <c r="C31" s="53" t="b">
        <v>1</v>
      </c>
      <c r="D31" s="49" t="b">
        <v>0</v>
      </c>
      <c r="E31" s="46" t="b">
        <v>0</v>
      </c>
      <c r="F31" s="49" t="b">
        <v>0</v>
      </c>
      <c r="G31" s="46" t="b">
        <v>0</v>
      </c>
      <c r="H31" s="47" t="b">
        <v>0</v>
      </c>
      <c r="I31" s="48" t="b">
        <v>0</v>
      </c>
      <c r="J31" s="47" t="b">
        <v>0</v>
      </c>
      <c r="K31" s="48" t="b">
        <v>0</v>
      </c>
      <c r="L31" s="64" t="str">
        <f>IF(C8=0,IF(D31=TRUE,1,IF(E31=TRUE,2,IF(F31=TRUE,3,IF(G31=TRUE,4,IF(H31=TRUE,5,IF(I31=TRUE,6,IF(J31=TRUE,7,IF(K31=TRUE,8," "))))))))," ")</f>
        <v xml:space="preserve"> </v>
      </c>
      <c r="M31" s="59" t="s">
        <v>97</v>
      </c>
    </row>
    <row r="32" spans="1:14" s="20" customFormat="1" ht="20.100000000000001" customHeight="1" x14ac:dyDescent="0.25">
      <c r="A32" s="21" t="s">
        <v>97</v>
      </c>
      <c r="B32" s="23"/>
      <c r="C32" s="62">
        <f>IF(C31=TRUE,1,0)</f>
        <v>1</v>
      </c>
      <c r="L32" s="38"/>
    </row>
    <row r="33" spans="3:3" x14ac:dyDescent="0.25">
      <c r="C33" s="63"/>
    </row>
  </sheetData>
  <mergeCells count="5">
    <mergeCell ref="D3:E7"/>
    <mergeCell ref="F3:G7"/>
    <mergeCell ref="H3:I7"/>
    <mergeCell ref="J3:K7"/>
    <mergeCell ref="B3:B6"/>
  </mergeCells>
  <conditionalFormatting sqref="C9:K9 C11:K11 C13:K13 C15:K15 C17:K17 C19:K19 C21:K21 C23:K23 C25:K25 C27:K27 C29:K29 C31:K31">
    <cfRule type="containsText" dxfId="0" priority="2" operator="containsText" text="TRUE">
      <formula>NOT(ISERROR(SEARCH("TRUE",C9)))</formula>
    </cfRule>
  </conditionalFormatting>
  <conditionalFormatting sqref="L9 L11 L13 L15 L17 L19 L21 L23 L25 L27 L29 L31">
    <cfRule type="colorScale" priority="1">
      <colorScale>
        <cfvo type="min"/>
        <cfvo type="percentile" val="50"/>
        <cfvo type="max"/>
        <color rgb="FFF8696B"/>
        <color rgb="FFFFEB84"/>
        <color rgb="FF63BE7B"/>
      </colorScale>
    </cfRule>
  </conditionalFormatting>
  <hyperlinks>
    <hyperlink ref="M2" r:id="rId1" display="bucinelr@union.edu"/>
    <hyperlink ref="M3" r:id="rId2" display="bucinelr@union.edu"/>
  </hyperlinks>
  <pageMargins left="0.7" right="0.7" top="0.75" bottom="0.75" header="0.3" footer="0.3"/>
  <drawing r:id="rId3"/>
  <legacyDrawing r:id="rId4"/>
  <controls>
    <mc:AlternateContent xmlns:mc="http://schemas.openxmlformats.org/markup-compatibility/2006">
      <mc:Choice Requires="x14">
        <control shapeId="3243" r:id="rId5" name="Send">
          <controlPr defaultSize="0" autoFill="0" autoLine="0" r:id="rId6">
            <anchor moveWithCells="1">
              <from>
                <xdr:col>12</xdr:col>
                <xdr:colOff>0</xdr:colOff>
                <xdr:row>5</xdr:row>
                <xdr:rowOff>0</xdr:rowOff>
              </from>
              <to>
                <xdr:col>13</xdr:col>
                <xdr:colOff>19050</xdr:colOff>
                <xdr:row>6</xdr:row>
                <xdr:rowOff>190500</xdr:rowOff>
              </to>
            </anchor>
          </controlPr>
        </control>
      </mc:Choice>
      <mc:Fallback>
        <control shapeId="3243" r:id="rId5" name="Send"/>
      </mc:Fallback>
    </mc:AlternateContent>
    <mc:AlternateContent xmlns:mc="http://schemas.openxmlformats.org/markup-compatibility/2006">
      <mc:Choice Requires="x14">
        <control shapeId="3242" r:id="rId7" name="RESET">
          <controlPr defaultSize="0" autoFill="0" autoLine="0" r:id="rId8">
            <anchor moveWithCells="1">
              <from>
                <xdr:col>1</xdr:col>
                <xdr:colOff>9525</xdr:colOff>
                <xdr:row>6</xdr:row>
                <xdr:rowOff>161925</xdr:rowOff>
              </from>
              <to>
                <xdr:col>1</xdr:col>
                <xdr:colOff>5476875</xdr:colOff>
                <xdr:row>7</xdr:row>
                <xdr:rowOff>276225</xdr:rowOff>
              </to>
            </anchor>
          </controlPr>
        </control>
      </mc:Choice>
      <mc:Fallback>
        <control shapeId="3242" r:id="rId7" name="RESET"/>
      </mc:Fallback>
    </mc:AlternateContent>
    <mc:AlternateContent xmlns:mc="http://schemas.openxmlformats.org/markup-compatibility/2006">
      <mc:Choice Requires="x14">
        <control shapeId="3236" r:id="rId9" name="OB12">
          <controlPr defaultSize="0" autoLine="0" linkedCell="C31" r:id="rId10">
            <anchor moveWithCells="1">
              <from>
                <xdr:col>2</xdr:col>
                <xdr:colOff>38100</xdr:colOff>
                <xdr:row>30</xdr:row>
                <xdr:rowOff>47625</xdr:rowOff>
              </from>
              <to>
                <xdr:col>2</xdr:col>
                <xdr:colOff>228600</xdr:colOff>
                <xdr:row>30</xdr:row>
                <xdr:rowOff>838200</xdr:rowOff>
              </to>
            </anchor>
          </controlPr>
        </control>
      </mc:Choice>
      <mc:Fallback>
        <control shapeId="3236" r:id="rId9" name="OB12"/>
      </mc:Fallback>
    </mc:AlternateContent>
    <mc:AlternateContent xmlns:mc="http://schemas.openxmlformats.org/markup-compatibility/2006">
      <mc:Choice Requires="x14">
        <control shapeId="3235" r:id="rId11" name="OB12q08">
          <controlPr defaultSize="0" autoLine="0" linkedCell="K31" r:id="rId12">
            <anchor moveWithCells="1">
              <from>
                <xdr:col>10</xdr:col>
                <xdr:colOff>47625</xdr:colOff>
                <xdr:row>30</xdr:row>
                <xdr:rowOff>47625</xdr:rowOff>
              </from>
              <to>
                <xdr:col>10</xdr:col>
                <xdr:colOff>561975</xdr:colOff>
                <xdr:row>30</xdr:row>
                <xdr:rowOff>838200</xdr:rowOff>
              </to>
            </anchor>
          </controlPr>
        </control>
      </mc:Choice>
      <mc:Fallback>
        <control shapeId="3235" r:id="rId11" name="OB12q08"/>
      </mc:Fallback>
    </mc:AlternateContent>
    <mc:AlternateContent xmlns:mc="http://schemas.openxmlformats.org/markup-compatibility/2006">
      <mc:Choice Requires="x14">
        <control shapeId="3234" r:id="rId13" name="OB12q07">
          <controlPr defaultSize="0" autoLine="0" linkedCell="J31" r:id="rId14">
            <anchor moveWithCells="1">
              <from>
                <xdr:col>9</xdr:col>
                <xdr:colOff>47625</xdr:colOff>
                <xdr:row>30</xdr:row>
                <xdr:rowOff>47625</xdr:rowOff>
              </from>
              <to>
                <xdr:col>9</xdr:col>
                <xdr:colOff>561975</xdr:colOff>
                <xdr:row>30</xdr:row>
                <xdr:rowOff>838200</xdr:rowOff>
              </to>
            </anchor>
          </controlPr>
        </control>
      </mc:Choice>
      <mc:Fallback>
        <control shapeId="3234" r:id="rId13" name="OB12q07"/>
      </mc:Fallback>
    </mc:AlternateContent>
    <mc:AlternateContent xmlns:mc="http://schemas.openxmlformats.org/markup-compatibility/2006">
      <mc:Choice Requires="x14">
        <control shapeId="3233" r:id="rId15" name="OB12q06">
          <controlPr defaultSize="0" autoLine="0" linkedCell="I31" r:id="rId16">
            <anchor moveWithCells="1">
              <from>
                <xdr:col>8</xdr:col>
                <xdr:colOff>47625</xdr:colOff>
                <xdr:row>30</xdr:row>
                <xdr:rowOff>47625</xdr:rowOff>
              </from>
              <to>
                <xdr:col>8</xdr:col>
                <xdr:colOff>561975</xdr:colOff>
                <xdr:row>30</xdr:row>
                <xdr:rowOff>838200</xdr:rowOff>
              </to>
            </anchor>
          </controlPr>
        </control>
      </mc:Choice>
      <mc:Fallback>
        <control shapeId="3233" r:id="rId15" name="OB12q06"/>
      </mc:Fallback>
    </mc:AlternateContent>
    <mc:AlternateContent xmlns:mc="http://schemas.openxmlformats.org/markup-compatibility/2006">
      <mc:Choice Requires="x14">
        <control shapeId="3232" r:id="rId17" name="OB12q05">
          <controlPr defaultSize="0" autoLine="0" linkedCell="H31" r:id="rId18">
            <anchor moveWithCells="1">
              <from>
                <xdr:col>7</xdr:col>
                <xdr:colOff>47625</xdr:colOff>
                <xdr:row>30</xdr:row>
                <xdr:rowOff>47625</xdr:rowOff>
              </from>
              <to>
                <xdr:col>7</xdr:col>
                <xdr:colOff>561975</xdr:colOff>
                <xdr:row>30</xdr:row>
                <xdr:rowOff>838200</xdr:rowOff>
              </to>
            </anchor>
          </controlPr>
        </control>
      </mc:Choice>
      <mc:Fallback>
        <control shapeId="3232" r:id="rId17" name="OB12q05"/>
      </mc:Fallback>
    </mc:AlternateContent>
    <mc:AlternateContent xmlns:mc="http://schemas.openxmlformats.org/markup-compatibility/2006">
      <mc:Choice Requires="x14">
        <control shapeId="3231" r:id="rId19" name="OB12q04">
          <controlPr defaultSize="0" autoLine="0" linkedCell="G31" r:id="rId20">
            <anchor moveWithCells="1">
              <from>
                <xdr:col>6</xdr:col>
                <xdr:colOff>47625</xdr:colOff>
                <xdr:row>30</xdr:row>
                <xdr:rowOff>47625</xdr:rowOff>
              </from>
              <to>
                <xdr:col>6</xdr:col>
                <xdr:colOff>561975</xdr:colOff>
                <xdr:row>30</xdr:row>
                <xdr:rowOff>838200</xdr:rowOff>
              </to>
            </anchor>
          </controlPr>
        </control>
      </mc:Choice>
      <mc:Fallback>
        <control shapeId="3231" r:id="rId19" name="OB12q04"/>
      </mc:Fallback>
    </mc:AlternateContent>
    <mc:AlternateContent xmlns:mc="http://schemas.openxmlformats.org/markup-compatibility/2006">
      <mc:Choice Requires="x14">
        <control shapeId="3230" r:id="rId21" name="OB12q03">
          <controlPr defaultSize="0" autoLine="0" linkedCell="F31" r:id="rId22">
            <anchor moveWithCells="1">
              <from>
                <xdr:col>5</xdr:col>
                <xdr:colOff>47625</xdr:colOff>
                <xdr:row>30</xdr:row>
                <xdr:rowOff>47625</xdr:rowOff>
              </from>
              <to>
                <xdr:col>5</xdr:col>
                <xdr:colOff>561975</xdr:colOff>
                <xdr:row>30</xdr:row>
                <xdr:rowOff>838200</xdr:rowOff>
              </to>
            </anchor>
          </controlPr>
        </control>
      </mc:Choice>
      <mc:Fallback>
        <control shapeId="3230" r:id="rId21" name="OB12q03"/>
      </mc:Fallback>
    </mc:AlternateContent>
    <mc:AlternateContent xmlns:mc="http://schemas.openxmlformats.org/markup-compatibility/2006">
      <mc:Choice Requires="x14">
        <control shapeId="3229" r:id="rId23" name="OB12q02">
          <controlPr defaultSize="0" autoLine="0" linkedCell="E31" r:id="rId24">
            <anchor moveWithCells="1">
              <from>
                <xdr:col>4</xdr:col>
                <xdr:colOff>47625</xdr:colOff>
                <xdr:row>30</xdr:row>
                <xdr:rowOff>47625</xdr:rowOff>
              </from>
              <to>
                <xdr:col>4</xdr:col>
                <xdr:colOff>561975</xdr:colOff>
                <xdr:row>30</xdr:row>
                <xdr:rowOff>838200</xdr:rowOff>
              </to>
            </anchor>
          </controlPr>
        </control>
      </mc:Choice>
      <mc:Fallback>
        <control shapeId="3229" r:id="rId23" name="OB12q02"/>
      </mc:Fallback>
    </mc:AlternateContent>
    <mc:AlternateContent xmlns:mc="http://schemas.openxmlformats.org/markup-compatibility/2006">
      <mc:Choice Requires="x14">
        <control shapeId="3228" r:id="rId25" name="OB12q01">
          <controlPr defaultSize="0" autoLine="0" linkedCell="D31" r:id="rId26">
            <anchor moveWithCells="1">
              <from>
                <xdr:col>3</xdr:col>
                <xdr:colOff>47625</xdr:colOff>
                <xdr:row>30</xdr:row>
                <xdr:rowOff>47625</xdr:rowOff>
              </from>
              <to>
                <xdr:col>3</xdr:col>
                <xdr:colOff>561975</xdr:colOff>
                <xdr:row>30</xdr:row>
                <xdr:rowOff>838200</xdr:rowOff>
              </to>
            </anchor>
          </controlPr>
        </control>
      </mc:Choice>
      <mc:Fallback>
        <control shapeId="3228" r:id="rId25" name="OB12q01"/>
      </mc:Fallback>
    </mc:AlternateContent>
    <mc:AlternateContent xmlns:mc="http://schemas.openxmlformats.org/markup-compatibility/2006">
      <mc:Choice Requires="x14">
        <control shapeId="3227" r:id="rId27" name="OB11">
          <controlPr defaultSize="0" autoLine="0" linkedCell="C29" r:id="rId28">
            <anchor moveWithCells="1">
              <from>
                <xdr:col>2</xdr:col>
                <xdr:colOff>38100</xdr:colOff>
                <xdr:row>28</xdr:row>
                <xdr:rowOff>47625</xdr:rowOff>
              </from>
              <to>
                <xdr:col>2</xdr:col>
                <xdr:colOff>228600</xdr:colOff>
                <xdr:row>28</xdr:row>
                <xdr:rowOff>838200</xdr:rowOff>
              </to>
            </anchor>
          </controlPr>
        </control>
      </mc:Choice>
      <mc:Fallback>
        <control shapeId="3227" r:id="rId27" name="OB11"/>
      </mc:Fallback>
    </mc:AlternateContent>
    <mc:AlternateContent xmlns:mc="http://schemas.openxmlformats.org/markup-compatibility/2006">
      <mc:Choice Requires="x14">
        <control shapeId="3226" r:id="rId29" name="OB11q08">
          <controlPr defaultSize="0" autoLine="0" linkedCell="K29" r:id="rId30">
            <anchor moveWithCells="1">
              <from>
                <xdr:col>10</xdr:col>
                <xdr:colOff>47625</xdr:colOff>
                <xdr:row>28</xdr:row>
                <xdr:rowOff>47625</xdr:rowOff>
              </from>
              <to>
                <xdr:col>10</xdr:col>
                <xdr:colOff>561975</xdr:colOff>
                <xdr:row>28</xdr:row>
                <xdr:rowOff>838200</xdr:rowOff>
              </to>
            </anchor>
          </controlPr>
        </control>
      </mc:Choice>
      <mc:Fallback>
        <control shapeId="3226" r:id="rId29" name="OB11q08"/>
      </mc:Fallback>
    </mc:AlternateContent>
    <mc:AlternateContent xmlns:mc="http://schemas.openxmlformats.org/markup-compatibility/2006">
      <mc:Choice Requires="x14">
        <control shapeId="3225" r:id="rId31" name="OB11q07">
          <controlPr defaultSize="0" autoLine="0" linkedCell="J29" r:id="rId32">
            <anchor moveWithCells="1">
              <from>
                <xdr:col>9</xdr:col>
                <xdr:colOff>47625</xdr:colOff>
                <xdr:row>28</xdr:row>
                <xdr:rowOff>47625</xdr:rowOff>
              </from>
              <to>
                <xdr:col>9</xdr:col>
                <xdr:colOff>561975</xdr:colOff>
                <xdr:row>28</xdr:row>
                <xdr:rowOff>838200</xdr:rowOff>
              </to>
            </anchor>
          </controlPr>
        </control>
      </mc:Choice>
      <mc:Fallback>
        <control shapeId="3225" r:id="rId31" name="OB11q07"/>
      </mc:Fallback>
    </mc:AlternateContent>
    <mc:AlternateContent xmlns:mc="http://schemas.openxmlformats.org/markup-compatibility/2006">
      <mc:Choice Requires="x14">
        <control shapeId="3224" r:id="rId33" name="OB11q06">
          <controlPr defaultSize="0" autoLine="0" linkedCell="I29" r:id="rId34">
            <anchor moveWithCells="1">
              <from>
                <xdr:col>8</xdr:col>
                <xdr:colOff>47625</xdr:colOff>
                <xdr:row>28</xdr:row>
                <xdr:rowOff>47625</xdr:rowOff>
              </from>
              <to>
                <xdr:col>8</xdr:col>
                <xdr:colOff>561975</xdr:colOff>
                <xdr:row>28</xdr:row>
                <xdr:rowOff>838200</xdr:rowOff>
              </to>
            </anchor>
          </controlPr>
        </control>
      </mc:Choice>
      <mc:Fallback>
        <control shapeId="3224" r:id="rId33" name="OB11q06"/>
      </mc:Fallback>
    </mc:AlternateContent>
    <mc:AlternateContent xmlns:mc="http://schemas.openxmlformats.org/markup-compatibility/2006">
      <mc:Choice Requires="x14">
        <control shapeId="3223" r:id="rId35" name="OB11q05">
          <controlPr defaultSize="0" autoLine="0" linkedCell="H29" r:id="rId36">
            <anchor moveWithCells="1">
              <from>
                <xdr:col>7</xdr:col>
                <xdr:colOff>47625</xdr:colOff>
                <xdr:row>28</xdr:row>
                <xdr:rowOff>47625</xdr:rowOff>
              </from>
              <to>
                <xdr:col>7</xdr:col>
                <xdr:colOff>561975</xdr:colOff>
                <xdr:row>28</xdr:row>
                <xdr:rowOff>838200</xdr:rowOff>
              </to>
            </anchor>
          </controlPr>
        </control>
      </mc:Choice>
      <mc:Fallback>
        <control shapeId="3223" r:id="rId35" name="OB11q05"/>
      </mc:Fallback>
    </mc:AlternateContent>
    <mc:AlternateContent xmlns:mc="http://schemas.openxmlformats.org/markup-compatibility/2006">
      <mc:Choice Requires="x14">
        <control shapeId="3222" r:id="rId37" name="OB11q04">
          <controlPr defaultSize="0" autoLine="0" linkedCell="G29" r:id="rId38">
            <anchor moveWithCells="1">
              <from>
                <xdr:col>6</xdr:col>
                <xdr:colOff>47625</xdr:colOff>
                <xdr:row>28</xdr:row>
                <xdr:rowOff>47625</xdr:rowOff>
              </from>
              <to>
                <xdr:col>6</xdr:col>
                <xdr:colOff>561975</xdr:colOff>
                <xdr:row>28</xdr:row>
                <xdr:rowOff>838200</xdr:rowOff>
              </to>
            </anchor>
          </controlPr>
        </control>
      </mc:Choice>
      <mc:Fallback>
        <control shapeId="3222" r:id="rId37" name="OB11q04"/>
      </mc:Fallback>
    </mc:AlternateContent>
    <mc:AlternateContent xmlns:mc="http://schemas.openxmlformats.org/markup-compatibility/2006">
      <mc:Choice Requires="x14">
        <control shapeId="3221" r:id="rId39" name="OB11q03">
          <controlPr defaultSize="0" autoLine="0" linkedCell="F29" r:id="rId40">
            <anchor moveWithCells="1">
              <from>
                <xdr:col>5</xdr:col>
                <xdr:colOff>47625</xdr:colOff>
                <xdr:row>28</xdr:row>
                <xdr:rowOff>47625</xdr:rowOff>
              </from>
              <to>
                <xdr:col>5</xdr:col>
                <xdr:colOff>561975</xdr:colOff>
                <xdr:row>28</xdr:row>
                <xdr:rowOff>838200</xdr:rowOff>
              </to>
            </anchor>
          </controlPr>
        </control>
      </mc:Choice>
      <mc:Fallback>
        <control shapeId="3221" r:id="rId39" name="OB11q03"/>
      </mc:Fallback>
    </mc:AlternateContent>
    <mc:AlternateContent xmlns:mc="http://schemas.openxmlformats.org/markup-compatibility/2006">
      <mc:Choice Requires="x14">
        <control shapeId="3220" r:id="rId41" name="OB11q02">
          <controlPr defaultSize="0" autoLine="0" linkedCell="E29" r:id="rId42">
            <anchor moveWithCells="1">
              <from>
                <xdr:col>4</xdr:col>
                <xdr:colOff>47625</xdr:colOff>
                <xdr:row>28</xdr:row>
                <xdr:rowOff>47625</xdr:rowOff>
              </from>
              <to>
                <xdr:col>4</xdr:col>
                <xdr:colOff>561975</xdr:colOff>
                <xdr:row>28</xdr:row>
                <xdr:rowOff>838200</xdr:rowOff>
              </to>
            </anchor>
          </controlPr>
        </control>
      </mc:Choice>
      <mc:Fallback>
        <control shapeId="3220" r:id="rId41" name="OB11q02"/>
      </mc:Fallback>
    </mc:AlternateContent>
    <mc:AlternateContent xmlns:mc="http://schemas.openxmlformats.org/markup-compatibility/2006">
      <mc:Choice Requires="x14">
        <control shapeId="3219" r:id="rId43" name="OB11q01">
          <controlPr defaultSize="0" autoLine="0" linkedCell="D29" r:id="rId44">
            <anchor moveWithCells="1">
              <from>
                <xdr:col>3</xdr:col>
                <xdr:colOff>47625</xdr:colOff>
                <xdr:row>28</xdr:row>
                <xdr:rowOff>47625</xdr:rowOff>
              </from>
              <to>
                <xdr:col>3</xdr:col>
                <xdr:colOff>561975</xdr:colOff>
                <xdr:row>28</xdr:row>
                <xdr:rowOff>838200</xdr:rowOff>
              </to>
            </anchor>
          </controlPr>
        </control>
      </mc:Choice>
      <mc:Fallback>
        <control shapeId="3219" r:id="rId43" name="OB11q01"/>
      </mc:Fallback>
    </mc:AlternateContent>
    <mc:AlternateContent xmlns:mc="http://schemas.openxmlformats.org/markup-compatibility/2006">
      <mc:Choice Requires="x14">
        <control shapeId="3218" r:id="rId45" name="OB10">
          <controlPr defaultSize="0" autoLine="0" linkedCell="C27" r:id="rId46">
            <anchor moveWithCells="1">
              <from>
                <xdr:col>2</xdr:col>
                <xdr:colOff>38100</xdr:colOff>
                <xdr:row>26</xdr:row>
                <xdr:rowOff>47625</xdr:rowOff>
              </from>
              <to>
                <xdr:col>2</xdr:col>
                <xdr:colOff>228600</xdr:colOff>
                <xdr:row>26</xdr:row>
                <xdr:rowOff>838200</xdr:rowOff>
              </to>
            </anchor>
          </controlPr>
        </control>
      </mc:Choice>
      <mc:Fallback>
        <control shapeId="3218" r:id="rId45" name="OB10"/>
      </mc:Fallback>
    </mc:AlternateContent>
    <mc:AlternateContent xmlns:mc="http://schemas.openxmlformats.org/markup-compatibility/2006">
      <mc:Choice Requires="x14">
        <control shapeId="3217" r:id="rId47" name="OB10q08">
          <controlPr defaultSize="0" autoLine="0" linkedCell="K27" r:id="rId48">
            <anchor moveWithCells="1">
              <from>
                <xdr:col>10</xdr:col>
                <xdr:colOff>47625</xdr:colOff>
                <xdr:row>26</xdr:row>
                <xdr:rowOff>47625</xdr:rowOff>
              </from>
              <to>
                <xdr:col>10</xdr:col>
                <xdr:colOff>561975</xdr:colOff>
                <xdr:row>26</xdr:row>
                <xdr:rowOff>838200</xdr:rowOff>
              </to>
            </anchor>
          </controlPr>
        </control>
      </mc:Choice>
      <mc:Fallback>
        <control shapeId="3217" r:id="rId47" name="OB10q08"/>
      </mc:Fallback>
    </mc:AlternateContent>
    <mc:AlternateContent xmlns:mc="http://schemas.openxmlformats.org/markup-compatibility/2006">
      <mc:Choice Requires="x14">
        <control shapeId="3216" r:id="rId49" name="OB10q07">
          <controlPr defaultSize="0" autoLine="0" linkedCell="J27" r:id="rId50">
            <anchor moveWithCells="1">
              <from>
                <xdr:col>9</xdr:col>
                <xdr:colOff>47625</xdr:colOff>
                <xdr:row>26</xdr:row>
                <xdr:rowOff>47625</xdr:rowOff>
              </from>
              <to>
                <xdr:col>9</xdr:col>
                <xdr:colOff>561975</xdr:colOff>
                <xdr:row>26</xdr:row>
                <xdr:rowOff>838200</xdr:rowOff>
              </to>
            </anchor>
          </controlPr>
        </control>
      </mc:Choice>
      <mc:Fallback>
        <control shapeId="3216" r:id="rId49" name="OB10q07"/>
      </mc:Fallback>
    </mc:AlternateContent>
    <mc:AlternateContent xmlns:mc="http://schemas.openxmlformats.org/markup-compatibility/2006">
      <mc:Choice Requires="x14">
        <control shapeId="3215" r:id="rId51" name="OB10q06">
          <controlPr defaultSize="0" autoLine="0" linkedCell="I27" r:id="rId52">
            <anchor moveWithCells="1">
              <from>
                <xdr:col>8</xdr:col>
                <xdr:colOff>47625</xdr:colOff>
                <xdr:row>26</xdr:row>
                <xdr:rowOff>47625</xdr:rowOff>
              </from>
              <to>
                <xdr:col>8</xdr:col>
                <xdr:colOff>561975</xdr:colOff>
                <xdr:row>26</xdr:row>
                <xdr:rowOff>838200</xdr:rowOff>
              </to>
            </anchor>
          </controlPr>
        </control>
      </mc:Choice>
      <mc:Fallback>
        <control shapeId="3215" r:id="rId51" name="OB10q06"/>
      </mc:Fallback>
    </mc:AlternateContent>
    <mc:AlternateContent xmlns:mc="http://schemas.openxmlformats.org/markup-compatibility/2006">
      <mc:Choice Requires="x14">
        <control shapeId="3214" r:id="rId53" name="OB10q05">
          <controlPr defaultSize="0" autoLine="0" linkedCell="H27" r:id="rId54">
            <anchor moveWithCells="1">
              <from>
                <xdr:col>7</xdr:col>
                <xdr:colOff>47625</xdr:colOff>
                <xdr:row>26</xdr:row>
                <xdr:rowOff>47625</xdr:rowOff>
              </from>
              <to>
                <xdr:col>7</xdr:col>
                <xdr:colOff>561975</xdr:colOff>
                <xdr:row>26</xdr:row>
                <xdr:rowOff>838200</xdr:rowOff>
              </to>
            </anchor>
          </controlPr>
        </control>
      </mc:Choice>
      <mc:Fallback>
        <control shapeId="3214" r:id="rId53" name="OB10q05"/>
      </mc:Fallback>
    </mc:AlternateContent>
    <mc:AlternateContent xmlns:mc="http://schemas.openxmlformats.org/markup-compatibility/2006">
      <mc:Choice Requires="x14">
        <control shapeId="3213" r:id="rId55" name="OB10q04">
          <controlPr defaultSize="0" autoLine="0" linkedCell="G27" r:id="rId56">
            <anchor moveWithCells="1">
              <from>
                <xdr:col>6</xdr:col>
                <xdr:colOff>47625</xdr:colOff>
                <xdr:row>26</xdr:row>
                <xdr:rowOff>47625</xdr:rowOff>
              </from>
              <to>
                <xdr:col>6</xdr:col>
                <xdr:colOff>561975</xdr:colOff>
                <xdr:row>26</xdr:row>
                <xdr:rowOff>838200</xdr:rowOff>
              </to>
            </anchor>
          </controlPr>
        </control>
      </mc:Choice>
      <mc:Fallback>
        <control shapeId="3213" r:id="rId55" name="OB10q04"/>
      </mc:Fallback>
    </mc:AlternateContent>
    <mc:AlternateContent xmlns:mc="http://schemas.openxmlformats.org/markup-compatibility/2006">
      <mc:Choice Requires="x14">
        <control shapeId="3212" r:id="rId57" name="OB10q03">
          <controlPr defaultSize="0" autoLine="0" linkedCell="F27" r:id="rId58">
            <anchor moveWithCells="1">
              <from>
                <xdr:col>5</xdr:col>
                <xdr:colOff>47625</xdr:colOff>
                <xdr:row>26</xdr:row>
                <xdr:rowOff>47625</xdr:rowOff>
              </from>
              <to>
                <xdr:col>5</xdr:col>
                <xdr:colOff>561975</xdr:colOff>
                <xdr:row>26</xdr:row>
                <xdr:rowOff>838200</xdr:rowOff>
              </to>
            </anchor>
          </controlPr>
        </control>
      </mc:Choice>
      <mc:Fallback>
        <control shapeId="3212" r:id="rId57" name="OB10q03"/>
      </mc:Fallback>
    </mc:AlternateContent>
    <mc:AlternateContent xmlns:mc="http://schemas.openxmlformats.org/markup-compatibility/2006">
      <mc:Choice Requires="x14">
        <control shapeId="3211" r:id="rId59" name="OB10q02">
          <controlPr defaultSize="0" autoLine="0" linkedCell="E27" r:id="rId60">
            <anchor moveWithCells="1">
              <from>
                <xdr:col>4</xdr:col>
                <xdr:colOff>47625</xdr:colOff>
                <xdr:row>26</xdr:row>
                <xdr:rowOff>47625</xdr:rowOff>
              </from>
              <to>
                <xdr:col>4</xdr:col>
                <xdr:colOff>561975</xdr:colOff>
                <xdr:row>26</xdr:row>
                <xdr:rowOff>838200</xdr:rowOff>
              </to>
            </anchor>
          </controlPr>
        </control>
      </mc:Choice>
      <mc:Fallback>
        <control shapeId="3211" r:id="rId59" name="OB10q02"/>
      </mc:Fallback>
    </mc:AlternateContent>
    <mc:AlternateContent xmlns:mc="http://schemas.openxmlformats.org/markup-compatibility/2006">
      <mc:Choice Requires="x14">
        <control shapeId="3210" r:id="rId61" name="OB10q01">
          <controlPr defaultSize="0" autoLine="0" linkedCell="D27" r:id="rId62">
            <anchor moveWithCells="1">
              <from>
                <xdr:col>3</xdr:col>
                <xdr:colOff>47625</xdr:colOff>
                <xdr:row>26</xdr:row>
                <xdr:rowOff>47625</xdr:rowOff>
              </from>
              <to>
                <xdr:col>3</xdr:col>
                <xdr:colOff>561975</xdr:colOff>
                <xdr:row>26</xdr:row>
                <xdr:rowOff>838200</xdr:rowOff>
              </to>
            </anchor>
          </controlPr>
        </control>
      </mc:Choice>
      <mc:Fallback>
        <control shapeId="3210" r:id="rId61" name="OB10q01"/>
      </mc:Fallback>
    </mc:AlternateContent>
    <mc:AlternateContent xmlns:mc="http://schemas.openxmlformats.org/markup-compatibility/2006">
      <mc:Choice Requires="x14">
        <control shapeId="3200" r:id="rId63" name="OB09">
          <controlPr defaultSize="0" autoLine="0" linkedCell="C25" r:id="rId64">
            <anchor moveWithCells="1">
              <from>
                <xdr:col>2</xdr:col>
                <xdr:colOff>38100</xdr:colOff>
                <xdr:row>24</xdr:row>
                <xdr:rowOff>47625</xdr:rowOff>
              </from>
              <to>
                <xdr:col>2</xdr:col>
                <xdr:colOff>228600</xdr:colOff>
                <xdr:row>24</xdr:row>
                <xdr:rowOff>838200</xdr:rowOff>
              </to>
            </anchor>
          </controlPr>
        </control>
      </mc:Choice>
      <mc:Fallback>
        <control shapeId="3200" r:id="rId63" name="OB09"/>
      </mc:Fallback>
    </mc:AlternateContent>
    <mc:AlternateContent xmlns:mc="http://schemas.openxmlformats.org/markup-compatibility/2006">
      <mc:Choice Requires="x14">
        <control shapeId="3199" r:id="rId65" name="OB09q08">
          <controlPr defaultSize="0" autoLine="0" linkedCell="K25" r:id="rId66">
            <anchor moveWithCells="1">
              <from>
                <xdr:col>10</xdr:col>
                <xdr:colOff>47625</xdr:colOff>
                <xdr:row>24</xdr:row>
                <xdr:rowOff>47625</xdr:rowOff>
              </from>
              <to>
                <xdr:col>10</xdr:col>
                <xdr:colOff>561975</xdr:colOff>
                <xdr:row>24</xdr:row>
                <xdr:rowOff>838200</xdr:rowOff>
              </to>
            </anchor>
          </controlPr>
        </control>
      </mc:Choice>
      <mc:Fallback>
        <control shapeId="3199" r:id="rId65" name="OB09q08"/>
      </mc:Fallback>
    </mc:AlternateContent>
    <mc:AlternateContent xmlns:mc="http://schemas.openxmlformats.org/markup-compatibility/2006">
      <mc:Choice Requires="x14">
        <control shapeId="3198" r:id="rId67" name="OB09q07">
          <controlPr defaultSize="0" autoLine="0" linkedCell="J25" r:id="rId68">
            <anchor moveWithCells="1">
              <from>
                <xdr:col>9</xdr:col>
                <xdr:colOff>47625</xdr:colOff>
                <xdr:row>24</xdr:row>
                <xdr:rowOff>47625</xdr:rowOff>
              </from>
              <to>
                <xdr:col>9</xdr:col>
                <xdr:colOff>561975</xdr:colOff>
                <xdr:row>24</xdr:row>
                <xdr:rowOff>838200</xdr:rowOff>
              </to>
            </anchor>
          </controlPr>
        </control>
      </mc:Choice>
      <mc:Fallback>
        <control shapeId="3198" r:id="rId67" name="OB09q07"/>
      </mc:Fallback>
    </mc:AlternateContent>
    <mc:AlternateContent xmlns:mc="http://schemas.openxmlformats.org/markup-compatibility/2006">
      <mc:Choice Requires="x14">
        <control shapeId="3197" r:id="rId69" name="OB09q06">
          <controlPr defaultSize="0" autoLine="0" linkedCell="I25" r:id="rId70">
            <anchor moveWithCells="1">
              <from>
                <xdr:col>8</xdr:col>
                <xdr:colOff>47625</xdr:colOff>
                <xdr:row>24</xdr:row>
                <xdr:rowOff>47625</xdr:rowOff>
              </from>
              <to>
                <xdr:col>8</xdr:col>
                <xdr:colOff>561975</xdr:colOff>
                <xdr:row>24</xdr:row>
                <xdr:rowOff>838200</xdr:rowOff>
              </to>
            </anchor>
          </controlPr>
        </control>
      </mc:Choice>
      <mc:Fallback>
        <control shapeId="3197" r:id="rId69" name="OB09q06"/>
      </mc:Fallback>
    </mc:AlternateContent>
    <mc:AlternateContent xmlns:mc="http://schemas.openxmlformats.org/markup-compatibility/2006">
      <mc:Choice Requires="x14">
        <control shapeId="3196" r:id="rId71" name="OB09q05">
          <controlPr defaultSize="0" autoLine="0" linkedCell="H25" r:id="rId72">
            <anchor moveWithCells="1">
              <from>
                <xdr:col>7</xdr:col>
                <xdr:colOff>47625</xdr:colOff>
                <xdr:row>24</xdr:row>
                <xdr:rowOff>47625</xdr:rowOff>
              </from>
              <to>
                <xdr:col>7</xdr:col>
                <xdr:colOff>561975</xdr:colOff>
                <xdr:row>24</xdr:row>
                <xdr:rowOff>838200</xdr:rowOff>
              </to>
            </anchor>
          </controlPr>
        </control>
      </mc:Choice>
      <mc:Fallback>
        <control shapeId="3196" r:id="rId71" name="OB09q05"/>
      </mc:Fallback>
    </mc:AlternateContent>
    <mc:AlternateContent xmlns:mc="http://schemas.openxmlformats.org/markup-compatibility/2006">
      <mc:Choice Requires="x14">
        <control shapeId="3195" r:id="rId73" name="OB09q04">
          <controlPr defaultSize="0" autoLine="0" linkedCell="G25" r:id="rId74">
            <anchor moveWithCells="1">
              <from>
                <xdr:col>6</xdr:col>
                <xdr:colOff>47625</xdr:colOff>
                <xdr:row>24</xdr:row>
                <xdr:rowOff>47625</xdr:rowOff>
              </from>
              <to>
                <xdr:col>6</xdr:col>
                <xdr:colOff>561975</xdr:colOff>
                <xdr:row>24</xdr:row>
                <xdr:rowOff>838200</xdr:rowOff>
              </to>
            </anchor>
          </controlPr>
        </control>
      </mc:Choice>
      <mc:Fallback>
        <control shapeId="3195" r:id="rId73" name="OB09q04"/>
      </mc:Fallback>
    </mc:AlternateContent>
    <mc:AlternateContent xmlns:mc="http://schemas.openxmlformats.org/markup-compatibility/2006">
      <mc:Choice Requires="x14">
        <control shapeId="3194" r:id="rId75" name="OB09q03">
          <controlPr defaultSize="0" autoLine="0" linkedCell="F25" r:id="rId76">
            <anchor moveWithCells="1">
              <from>
                <xdr:col>5</xdr:col>
                <xdr:colOff>47625</xdr:colOff>
                <xdr:row>24</xdr:row>
                <xdr:rowOff>47625</xdr:rowOff>
              </from>
              <to>
                <xdr:col>5</xdr:col>
                <xdr:colOff>561975</xdr:colOff>
                <xdr:row>24</xdr:row>
                <xdr:rowOff>838200</xdr:rowOff>
              </to>
            </anchor>
          </controlPr>
        </control>
      </mc:Choice>
      <mc:Fallback>
        <control shapeId="3194" r:id="rId75" name="OB09q03"/>
      </mc:Fallback>
    </mc:AlternateContent>
    <mc:AlternateContent xmlns:mc="http://schemas.openxmlformats.org/markup-compatibility/2006">
      <mc:Choice Requires="x14">
        <control shapeId="3193" r:id="rId77" name="OB09q02">
          <controlPr defaultSize="0" autoLine="0" linkedCell="E25" r:id="rId78">
            <anchor moveWithCells="1">
              <from>
                <xdr:col>4</xdr:col>
                <xdr:colOff>47625</xdr:colOff>
                <xdr:row>24</xdr:row>
                <xdr:rowOff>47625</xdr:rowOff>
              </from>
              <to>
                <xdr:col>4</xdr:col>
                <xdr:colOff>561975</xdr:colOff>
                <xdr:row>24</xdr:row>
                <xdr:rowOff>838200</xdr:rowOff>
              </to>
            </anchor>
          </controlPr>
        </control>
      </mc:Choice>
      <mc:Fallback>
        <control shapeId="3193" r:id="rId77" name="OB09q02"/>
      </mc:Fallback>
    </mc:AlternateContent>
    <mc:AlternateContent xmlns:mc="http://schemas.openxmlformats.org/markup-compatibility/2006">
      <mc:Choice Requires="x14">
        <control shapeId="3192" r:id="rId79" name="OB09q01">
          <controlPr defaultSize="0" autoLine="0" linkedCell="D25" r:id="rId80">
            <anchor moveWithCells="1">
              <from>
                <xdr:col>3</xdr:col>
                <xdr:colOff>47625</xdr:colOff>
                <xdr:row>24</xdr:row>
                <xdr:rowOff>47625</xdr:rowOff>
              </from>
              <to>
                <xdr:col>3</xdr:col>
                <xdr:colOff>561975</xdr:colOff>
                <xdr:row>24</xdr:row>
                <xdr:rowOff>838200</xdr:rowOff>
              </to>
            </anchor>
          </controlPr>
        </control>
      </mc:Choice>
      <mc:Fallback>
        <control shapeId="3192" r:id="rId79" name="OB09q01"/>
      </mc:Fallback>
    </mc:AlternateContent>
    <mc:AlternateContent xmlns:mc="http://schemas.openxmlformats.org/markup-compatibility/2006">
      <mc:Choice Requires="x14">
        <control shapeId="3182" r:id="rId81" name="OB08">
          <controlPr defaultSize="0" autoLine="0" linkedCell="C23" r:id="rId82">
            <anchor moveWithCells="1">
              <from>
                <xdr:col>2</xdr:col>
                <xdr:colOff>38100</xdr:colOff>
                <xdr:row>22</xdr:row>
                <xdr:rowOff>47625</xdr:rowOff>
              </from>
              <to>
                <xdr:col>2</xdr:col>
                <xdr:colOff>228600</xdr:colOff>
                <xdr:row>22</xdr:row>
                <xdr:rowOff>838200</xdr:rowOff>
              </to>
            </anchor>
          </controlPr>
        </control>
      </mc:Choice>
      <mc:Fallback>
        <control shapeId="3182" r:id="rId81" name="OB08"/>
      </mc:Fallback>
    </mc:AlternateContent>
    <mc:AlternateContent xmlns:mc="http://schemas.openxmlformats.org/markup-compatibility/2006">
      <mc:Choice Requires="x14">
        <control shapeId="3181" r:id="rId83" name="OB08q08">
          <controlPr defaultSize="0" autoLine="0" linkedCell="K23" r:id="rId84">
            <anchor moveWithCells="1">
              <from>
                <xdr:col>10</xdr:col>
                <xdr:colOff>47625</xdr:colOff>
                <xdr:row>22</xdr:row>
                <xdr:rowOff>47625</xdr:rowOff>
              </from>
              <to>
                <xdr:col>10</xdr:col>
                <xdr:colOff>561975</xdr:colOff>
                <xdr:row>22</xdr:row>
                <xdr:rowOff>838200</xdr:rowOff>
              </to>
            </anchor>
          </controlPr>
        </control>
      </mc:Choice>
      <mc:Fallback>
        <control shapeId="3181" r:id="rId83" name="OB08q08"/>
      </mc:Fallback>
    </mc:AlternateContent>
    <mc:AlternateContent xmlns:mc="http://schemas.openxmlformats.org/markup-compatibility/2006">
      <mc:Choice Requires="x14">
        <control shapeId="3180" r:id="rId85" name="OB08q07">
          <controlPr defaultSize="0" autoLine="0" linkedCell="J23" r:id="rId86">
            <anchor moveWithCells="1">
              <from>
                <xdr:col>9</xdr:col>
                <xdr:colOff>47625</xdr:colOff>
                <xdr:row>22</xdr:row>
                <xdr:rowOff>47625</xdr:rowOff>
              </from>
              <to>
                <xdr:col>9</xdr:col>
                <xdr:colOff>561975</xdr:colOff>
                <xdr:row>22</xdr:row>
                <xdr:rowOff>838200</xdr:rowOff>
              </to>
            </anchor>
          </controlPr>
        </control>
      </mc:Choice>
      <mc:Fallback>
        <control shapeId="3180" r:id="rId85" name="OB08q07"/>
      </mc:Fallback>
    </mc:AlternateContent>
    <mc:AlternateContent xmlns:mc="http://schemas.openxmlformats.org/markup-compatibility/2006">
      <mc:Choice Requires="x14">
        <control shapeId="3179" r:id="rId87" name="OB08q06">
          <controlPr defaultSize="0" autoLine="0" linkedCell="I23" r:id="rId88">
            <anchor moveWithCells="1">
              <from>
                <xdr:col>8</xdr:col>
                <xdr:colOff>47625</xdr:colOff>
                <xdr:row>22</xdr:row>
                <xdr:rowOff>47625</xdr:rowOff>
              </from>
              <to>
                <xdr:col>8</xdr:col>
                <xdr:colOff>561975</xdr:colOff>
                <xdr:row>22</xdr:row>
                <xdr:rowOff>838200</xdr:rowOff>
              </to>
            </anchor>
          </controlPr>
        </control>
      </mc:Choice>
      <mc:Fallback>
        <control shapeId="3179" r:id="rId87" name="OB08q06"/>
      </mc:Fallback>
    </mc:AlternateContent>
    <mc:AlternateContent xmlns:mc="http://schemas.openxmlformats.org/markup-compatibility/2006">
      <mc:Choice Requires="x14">
        <control shapeId="3178" r:id="rId89" name="OB08q05">
          <controlPr defaultSize="0" autoLine="0" linkedCell="H23" r:id="rId90">
            <anchor moveWithCells="1">
              <from>
                <xdr:col>7</xdr:col>
                <xdr:colOff>47625</xdr:colOff>
                <xdr:row>22</xdr:row>
                <xdr:rowOff>47625</xdr:rowOff>
              </from>
              <to>
                <xdr:col>7</xdr:col>
                <xdr:colOff>561975</xdr:colOff>
                <xdr:row>22</xdr:row>
                <xdr:rowOff>838200</xdr:rowOff>
              </to>
            </anchor>
          </controlPr>
        </control>
      </mc:Choice>
      <mc:Fallback>
        <control shapeId="3178" r:id="rId89" name="OB08q05"/>
      </mc:Fallback>
    </mc:AlternateContent>
    <mc:AlternateContent xmlns:mc="http://schemas.openxmlformats.org/markup-compatibility/2006">
      <mc:Choice Requires="x14">
        <control shapeId="3177" r:id="rId91" name="OB08q04">
          <controlPr defaultSize="0" autoLine="0" linkedCell="G23" r:id="rId92">
            <anchor moveWithCells="1">
              <from>
                <xdr:col>6</xdr:col>
                <xdr:colOff>47625</xdr:colOff>
                <xdr:row>22</xdr:row>
                <xdr:rowOff>47625</xdr:rowOff>
              </from>
              <to>
                <xdr:col>6</xdr:col>
                <xdr:colOff>561975</xdr:colOff>
                <xdr:row>22</xdr:row>
                <xdr:rowOff>838200</xdr:rowOff>
              </to>
            </anchor>
          </controlPr>
        </control>
      </mc:Choice>
      <mc:Fallback>
        <control shapeId="3177" r:id="rId91" name="OB08q04"/>
      </mc:Fallback>
    </mc:AlternateContent>
    <mc:AlternateContent xmlns:mc="http://schemas.openxmlformats.org/markup-compatibility/2006">
      <mc:Choice Requires="x14">
        <control shapeId="3176" r:id="rId93" name="OB08q03">
          <controlPr defaultSize="0" autoLine="0" linkedCell="F23" r:id="rId94">
            <anchor moveWithCells="1">
              <from>
                <xdr:col>5</xdr:col>
                <xdr:colOff>47625</xdr:colOff>
                <xdr:row>22</xdr:row>
                <xdr:rowOff>47625</xdr:rowOff>
              </from>
              <to>
                <xdr:col>5</xdr:col>
                <xdr:colOff>561975</xdr:colOff>
                <xdr:row>22</xdr:row>
                <xdr:rowOff>838200</xdr:rowOff>
              </to>
            </anchor>
          </controlPr>
        </control>
      </mc:Choice>
      <mc:Fallback>
        <control shapeId="3176" r:id="rId93" name="OB08q03"/>
      </mc:Fallback>
    </mc:AlternateContent>
    <mc:AlternateContent xmlns:mc="http://schemas.openxmlformats.org/markup-compatibility/2006">
      <mc:Choice Requires="x14">
        <control shapeId="3175" r:id="rId95" name="OB08q02">
          <controlPr defaultSize="0" autoLine="0" linkedCell="E23" r:id="rId96">
            <anchor moveWithCells="1">
              <from>
                <xdr:col>4</xdr:col>
                <xdr:colOff>47625</xdr:colOff>
                <xdr:row>22</xdr:row>
                <xdr:rowOff>47625</xdr:rowOff>
              </from>
              <to>
                <xdr:col>4</xdr:col>
                <xdr:colOff>561975</xdr:colOff>
                <xdr:row>22</xdr:row>
                <xdr:rowOff>838200</xdr:rowOff>
              </to>
            </anchor>
          </controlPr>
        </control>
      </mc:Choice>
      <mc:Fallback>
        <control shapeId="3175" r:id="rId95" name="OB08q02"/>
      </mc:Fallback>
    </mc:AlternateContent>
    <mc:AlternateContent xmlns:mc="http://schemas.openxmlformats.org/markup-compatibility/2006">
      <mc:Choice Requires="x14">
        <control shapeId="3174" r:id="rId97" name="OB08q01">
          <controlPr defaultSize="0" autoLine="0" linkedCell="D23" r:id="rId98">
            <anchor moveWithCells="1">
              <from>
                <xdr:col>3</xdr:col>
                <xdr:colOff>47625</xdr:colOff>
                <xdr:row>22</xdr:row>
                <xdr:rowOff>47625</xdr:rowOff>
              </from>
              <to>
                <xdr:col>3</xdr:col>
                <xdr:colOff>561975</xdr:colOff>
                <xdr:row>22</xdr:row>
                <xdr:rowOff>838200</xdr:rowOff>
              </to>
            </anchor>
          </controlPr>
        </control>
      </mc:Choice>
      <mc:Fallback>
        <control shapeId="3174" r:id="rId97" name="OB08q01"/>
      </mc:Fallback>
    </mc:AlternateContent>
    <mc:AlternateContent xmlns:mc="http://schemas.openxmlformats.org/markup-compatibility/2006">
      <mc:Choice Requires="x14">
        <control shapeId="3164" r:id="rId99" name="OB07">
          <controlPr defaultSize="0" autoLine="0" linkedCell="C21" r:id="rId100">
            <anchor moveWithCells="1">
              <from>
                <xdr:col>2</xdr:col>
                <xdr:colOff>38100</xdr:colOff>
                <xdr:row>20</xdr:row>
                <xdr:rowOff>47625</xdr:rowOff>
              </from>
              <to>
                <xdr:col>2</xdr:col>
                <xdr:colOff>228600</xdr:colOff>
                <xdr:row>20</xdr:row>
                <xdr:rowOff>838200</xdr:rowOff>
              </to>
            </anchor>
          </controlPr>
        </control>
      </mc:Choice>
      <mc:Fallback>
        <control shapeId="3164" r:id="rId99" name="OB07"/>
      </mc:Fallback>
    </mc:AlternateContent>
    <mc:AlternateContent xmlns:mc="http://schemas.openxmlformats.org/markup-compatibility/2006">
      <mc:Choice Requires="x14">
        <control shapeId="3163" r:id="rId101" name="OB07q08">
          <controlPr defaultSize="0" autoLine="0" linkedCell="K21" r:id="rId102">
            <anchor moveWithCells="1">
              <from>
                <xdr:col>10</xdr:col>
                <xdr:colOff>47625</xdr:colOff>
                <xdr:row>20</xdr:row>
                <xdr:rowOff>47625</xdr:rowOff>
              </from>
              <to>
                <xdr:col>10</xdr:col>
                <xdr:colOff>561975</xdr:colOff>
                <xdr:row>20</xdr:row>
                <xdr:rowOff>838200</xdr:rowOff>
              </to>
            </anchor>
          </controlPr>
        </control>
      </mc:Choice>
      <mc:Fallback>
        <control shapeId="3163" r:id="rId101" name="OB07q08"/>
      </mc:Fallback>
    </mc:AlternateContent>
    <mc:AlternateContent xmlns:mc="http://schemas.openxmlformats.org/markup-compatibility/2006">
      <mc:Choice Requires="x14">
        <control shapeId="3162" r:id="rId103" name="OB07q07">
          <controlPr defaultSize="0" autoLine="0" linkedCell="J21" r:id="rId104">
            <anchor moveWithCells="1">
              <from>
                <xdr:col>9</xdr:col>
                <xdr:colOff>47625</xdr:colOff>
                <xdr:row>20</xdr:row>
                <xdr:rowOff>47625</xdr:rowOff>
              </from>
              <to>
                <xdr:col>9</xdr:col>
                <xdr:colOff>561975</xdr:colOff>
                <xdr:row>20</xdr:row>
                <xdr:rowOff>838200</xdr:rowOff>
              </to>
            </anchor>
          </controlPr>
        </control>
      </mc:Choice>
      <mc:Fallback>
        <control shapeId="3162" r:id="rId103" name="OB07q07"/>
      </mc:Fallback>
    </mc:AlternateContent>
    <mc:AlternateContent xmlns:mc="http://schemas.openxmlformats.org/markup-compatibility/2006">
      <mc:Choice Requires="x14">
        <control shapeId="3161" r:id="rId105" name="OB07q06">
          <controlPr defaultSize="0" autoLine="0" linkedCell="I21" r:id="rId106">
            <anchor moveWithCells="1">
              <from>
                <xdr:col>8</xdr:col>
                <xdr:colOff>47625</xdr:colOff>
                <xdr:row>20</xdr:row>
                <xdr:rowOff>47625</xdr:rowOff>
              </from>
              <to>
                <xdr:col>8</xdr:col>
                <xdr:colOff>561975</xdr:colOff>
                <xdr:row>20</xdr:row>
                <xdr:rowOff>838200</xdr:rowOff>
              </to>
            </anchor>
          </controlPr>
        </control>
      </mc:Choice>
      <mc:Fallback>
        <control shapeId="3161" r:id="rId105" name="OB07q06"/>
      </mc:Fallback>
    </mc:AlternateContent>
    <mc:AlternateContent xmlns:mc="http://schemas.openxmlformats.org/markup-compatibility/2006">
      <mc:Choice Requires="x14">
        <control shapeId="3160" r:id="rId107" name="OB07q05">
          <controlPr defaultSize="0" autoLine="0" linkedCell="H21" r:id="rId108">
            <anchor moveWithCells="1">
              <from>
                <xdr:col>7</xdr:col>
                <xdr:colOff>47625</xdr:colOff>
                <xdr:row>20</xdr:row>
                <xdr:rowOff>47625</xdr:rowOff>
              </from>
              <to>
                <xdr:col>7</xdr:col>
                <xdr:colOff>561975</xdr:colOff>
                <xdr:row>20</xdr:row>
                <xdr:rowOff>838200</xdr:rowOff>
              </to>
            </anchor>
          </controlPr>
        </control>
      </mc:Choice>
      <mc:Fallback>
        <control shapeId="3160" r:id="rId107" name="OB07q05"/>
      </mc:Fallback>
    </mc:AlternateContent>
    <mc:AlternateContent xmlns:mc="http://schemas.openxmlformats.org/markup-compatibility/2006">
      <mc:Choice Requires="x14">
        <control shapeId="3159" r:id="rId109" name="OB07q04">
          <controlPr defaultSize="0" autoLine="0" linkedCell="G21" r:id="rId110">
            <anchor moveWithCells="1">
              <from>
                <xdr:col>6</xdr:col>
                <xdr:colOff>47625</xdr:colOff>
                <xdr:row>20</xdr:row>
                <xdr:rowOff>47625</xdr:rowOff>
              </from>
              <to>
                <xdr:col>6</xdr:col>
                <xdr:colOff>561975</xdr:colOff>
                <xdr:row>20</xdr:row>
                <xdr:rowOff>838200</xdr:rowOff>
              </to>
            </anchor>
          </controlPr>
        </control>
      </mc:Choice>
      <mc:Fallback>
        <control shapeId="3159" r:id="rId109" name="OB07q04"/>
      </mc:Fallback>
    </mc:AlternateContent>
    <mc:AlternateContent xmlns:mc="http://schemas.openxmlformats.org/markup-compatibility/2006">
      <mc:Choice Requires="x14">
        <control shapeId="3158" r:id="rId111" name="OB07q03">
          <controlPr defaultSize="0" autoLine="0" linkedCell="F21" r:id="rId112">
            <anchor moveWithCells="1">
              <from>
                <xdr:col>5</xdr:col>
                <xdr:colOff>47625</xdr:colOff>
                <xdr:row>20</xdr:row>
                <xdr:rowOff>47625</xdr:rowOff>
              </from>
              <to>
                <xdr:col>5</xdr:col>
                <xdr:colOff>561975</xdr:colOff>
                <xdr:row>20</xdr:row>
                <xdr:rowOff>838200</xdr:rowOff>
              </to>
            </anchor>
          </controlPr>
        </control>
      </mc:Choice>
      <mc:Fallback>
        <control shapeId="3158" r:id="rId111" name="OB07q03"/>
      </mc:Fallback>
    </mc:AlternateContent>
    <mc:AlternateContent xmlns:mc="http://schemas.openxmlformats.org/markup-compatibility/2006">
      <mc:Choice Requires="x14">
        <control shapeId="3157" r:id="rId113" name="OB07q02">
          <controlPr defaultSize="0" autoLine="0" linkedCell="E21" r:id="rId114">
            <anchor moveWithCells="1">
              <from>
                <xdr:col>4</xdr:col>
                <xdr:colOff>47625</xdr:colOff>
                <xdr:row>20</xdr:row>
                <xdr:rowOff>47625</xdr:rowOff>
              </from>
              <to>
                <xdr:col>4</xdr:col>
                <xdr:colOff>561975</xdr:colOff>
                <xdr:row>20</xdr:row>
                <xdr:rowOff>838200</xdr:rowOff>
              </to>
            </anchor>
          </controlPr>
        </control>
      </mc:Choice>
      <mc:Fallback>
        <control shapeId="3157" r:id="rId113" name="OB07q02"/>
      </mc:Fallback>
    </mc:AlternateContent>
    <mc:AlternateContent xmlns:mc="http://schemas.openxmlformats.org/markup-compatibility/2006">
      <mc:Choice Requires="x14">
        <control shapeId="3156" r:id="rId115" name="OB07q01">
          <controlPr defaultSize="0" autoLine="0" linkedCell="D21" r:id="rId116">
            <anchor moveWithCells="1">
              <from>
                <xdr:col>3</xdr:col>
                <xdr:colOff>47625</xdr:colOff>
                <xdr:row>20</xdr:row>
                <xdr:rowOff>47625</xdr:rowOff>
              </from>
              <to>
                <xdr:col>3</xdr:col>
                <xdr:colOff>561975</xdr:colOff>
                <xdr:row>20</xdr:row>
                <xdr:rowOff>838200</xdr:rowOff>
              </to>
            </anchor>
          </controlPr>
        </control>
      </mc:Choice>
      <mc:Fallback>
        <control shapeId="3156" r:id="rId115" name="OB07q01"/>
      </mc:Fallback>
    </mc:AlternateContent>
    <mc:AlternateContent xmlns:mc="http://schemas.openxmlformats.org/markup-compatibility/2006">
      <mc:Choice Requires="x14">
        <control shapeId="3155" r:id="rId117" name="OB06">
          <controlPr defaultSize="0" autoLine="0" linkedCell="C19" r:id="rId118">
            <anchor moveWithCells="1">
              <from>
                <xdr:col>2</xdr:col>
                <xdr:colOff>38100</xdr:colOff>
                <xdr:row>18</xdr:row>
                <xdr:rowOff>47625</xdr:rowOff>
              </from>
              <to>
                <xdr:col>2</xdr:col>
                <xdr:colOff>228600</xdr:colOff>
                <xdr:row>18</xdr:row>
                <xdr:rowOff>838200</xdr:rowOff>
              </to>
            </anchor>
          </controlPr>
        </control>
      </mc:Choice>
      <mc:Fallback>
        <control shapeId="3155" r:id="rId117" name="OB06"/>
      </mc:Fallback>
    </mc:AlternateContent>
    <mc:AlternateContent xmlns:mc="http://schemas.openxmlformats.org/markup-compatibility/2006">
      <mc:Choice Requires="x14">
        <control shapeId="3154" r:id="rId119" name="OB06q08">
          <controlPr defaultSize="0" autoLine="0" linkedCell="K19" r:id="rId120">
            <anchor moveWithCells="1">
              <from>
                <xdr:col>10</xdr:col>
                <xdr:colOff>47625</xdr:colOff>
                <xdr:row>18</xdr:row>
                <xdr:rowOff>47625</xdr:rowOff>
              </from>
              <to>
                <xdr:col>10</xdr:col>
                <xdr:colOff>561975</xdr:colOff>
                <xdr:row>18</xdr:row>
                <xdr:rowOff>838200</xdr:rowOff>
              </to>
            </anchor>
          </controlPr>
        </control>
      </mc:Choice>
      <mc:Fallback>
        <control shapeId="3154" r:id="rId119" name="OB06q08"/>
      </mc:Fallback>
    </mc:AlternateContent>
    <mc:AlternateContent xmlns:mc="http://schemas.openxmlformats.org/markup-compatibility/2006">
      <mc:Choice Requires="x14">
        <control shapeId="3153" r:id="rId121" name="OB06q07">
          <controlPr defaultSize="0" autoLine="0" linkedCell="J19" r:id="rId122">
            <anchor moveWithCells="1">
              <from>
                <xdr:col>9</xdr:col>
                <xdr:colOff>47625</xdr:colOff>
                <xdr:row>18</xdr:row>
                <xdr:rowOff>47625</xdr:rowOff>
              </from>
              <to>
                <xdr:col>9</xdr:col>
                <xdr:colOff>561975</xdr:colOff>
                <xdr:row>18</xdr:row>
                <xdr:rowOff>838200</xdr:rowOff>
              </to>
            </anchor>
          </controlPr>
        </control>
      </mc:Choice>
      <mc:Fallback>
        <control shapeId="3153" r:id="rId121" name="OB06q07"/>
      </mc:Fallback>
    </mc:AlternateContent>
    <mc:AlternateContent xmlns:mc="http://schemas.openxmlformats.org/markup-compatibility/2006">
      <mc:Choice Requires="x14">
        <control shapeId="3152" r:id="rId123" name="OB06q06">
          <controlPr defaultSize="0" autoLine="0" linkedCell="I19" r:id="rId124">
            <anchor moveWithCells="1">
              <from>
                <xdr:col>8</xdr:col>
                <xdr:colOff>47625</xdr:colOff>
                <xdr:row>18</xdr:row>
                <xdr:rowOff>47625</xdr:rowOff>
              </from>
              <to>
                <xdr:col>8</xdr:col>
                <xdr:colOff>561975</xdr:colOff>
                <xdr:row>18</xdr:row>
                <xdr:rowOff>838200</xdr:rowOff>
              </to>
            </anchor>
          </controlPr>
        </control>
      </mc:Choice>
      <mc:Fallback>
        <control shapeId="3152" r:id="rId123" name="OB06q06"/>
      </mc:Fallback>
    </mc:AlternateContent>
    <mc:AlternateContent xmlns:mc="http://schemas.openxmlformats.org/markup-compatibility/2006">
      <mc:Choice Requires="x14">
        <control shapeId="3151" r:id="rId125" name="OB06q05">
          <controlPr defaultSize="0" autoLine="0" linkedCell="H19" r:id="rId126">
            <anchor moveWithCells="1">
              <from>
                <xdr:col>7</xdr:col>
                <xdr:colOff>47625</xdr:colOff>
                <xdr:row>18</xdr:row>
                <xdr:rowOff>47625</xdr:rowOff>
              </from>
              <to>
                <xdr:col>7</xdr:col>
                <xdr:colOff>561975</xdr:colOff>
                <xdr:row>18</xdr:row>
                <xdr:rowOff>838200</xdr:rowOff>
              </to>
            </anchor>
          </controlPr>
        </control>
      </mc:Choice>
      <mc:Fallback>
        <control shapeId="3151" r:id="rId125" name="OB06q05"/>
      </mc:Fallback>
    </mc:AlternateContent>
    <mc:AlternateContent xmlns:mc="http://schemas.openxmlformats.org/markup-compatibility/2006">
      <mc:Choice Requires="x14">
        <control shapeId="3150" r:id="rId127" name="OB06q04">
          <controlPr defaultSize="0" autoLine="0" linkedCell="G19" r:id="rId128">
            <anchor moveWithCells="1">
              <from>
                <xdr:col>6</xdr:col>
                <xdr:colOff>47625</xdr:colOff>
                <xdr:row>18</xdr:row>
                <xdr:rowOff>47625</xdr:rowOff>
              </from>
              <to>
                <xdr:col>6</xdr:col>
                <xdr:colOff>561975</xdr:colOff>
                <xdr:row>18</xdr:row>
                <xdr:rowOff>838200</xdr:rowOff>
              </to>
            </anchor>
          </controlPr>
        </control>
      </mc:Choice>
      <mc:Fallback>
        <control shapeId="3150" r:id="rId127" name="OB06q04"/>
      </mc:Fallback>
    </mc:AlternateContent>
    <mc:AlternateContent xmlns:mc="http://schemas.openxmlformats.org/markup-compatibility/2006">
      <mc:Choice Requires="x14">
        <control shapeId="3149" r:id="rId129" name="OB06q03">
          <controlPr defaultSize="0" autoLine="0" linkedCell="F19" r:id="rId130">
            <anchor moveWithCells="1">
              <from>
                <xdr:col>5</xdr:col>
                <xdr:colOff>47625</xdr:colOff>
                <xdr:row>18</xdr:row>
                <xdr:rowOff>47625</xdr:rowOff>
              </from>
              <to>
                <xdr:col>5</xdr:col>
                <xdr:colOff>561975</xdr:colOff>
                <xdr:row>18</xdr:row>
                <xdr:rowOff>838200</xdr:rowOff>
              </to>
            </anchor>
          </controlPr>
        </control>
      </mc:Choice>
      <mc:Fallback>
        <control shapeId="3149" r:id="rId129" name="OB06q03"/>
      </mc:Fallback>
    </mc:AlternateContent>
    <mc:AlternateContent xmlns:mc="http://schemas.openxmlformats.org/markup-compatibility/2006">
      <mc:Choice Requires="x14">
        <control shapeId="3148" r:id="rId131" name="OB06q02">
          <controlPr defaultSize="0" autoLine="0" linkedCell="E19" r:id="rId132">
            <anchor moveWithCells="1">
              <from>
                <xdr:col>4</xdr:col>
                <xdr:colOff>47625</xdr:colOff>
                <xdr:row>18</xdr:row>
                <xdr:rowOff>47625</xdr:rowOff>
              </from>
              <to>
                <xdr:col>4</xdr:col>
                <xdr:colOff>561975</xdr:colOff>
                <xdr:row>18</xdr:row>
                <xdr:rowOff>838200</xdr:rowOff>
              </to>
            </anchor>
          </controlPr>
        </control>
      </mc:Choice>
      <mc:Fallback>
        <control shapeId="3148" r:id="rId131" name="OB06q02"/>
      </mc:Fallback>
    </mc:AlternateContent>
    <mc:AlternateContent xmlns:mc="http://schemas.openxmlformats.org/markup-compatibility/2006">
      <mc:Choice Requires="x14">
        <control shapeId="3147" r:id="rId133" name="OB06q01">
          <controlPr defaultSize="0" autoLine="0" linkedCell="D19" r:id="rId134">
            <anchor moveWithCells="1">
              <from>
                <xdr:col>3</xdr:col>
                <xdr:colOff>47625</xdr:colOff>
                <xdr:row>18</xdr:row>
                <xdr:rowOff>47625</xdr:rowOff>
              </from>
              <to>
                <xdr:col>3</xdr:col>
                <xdr:colOff>561975</xdr:colOff>
                <xdr:row>18</xdr:row>
                <xdr:rowOff>838200</xdr:rowOff>
              </to>
            </anchor>
          </controlPr>
        </control>
      </mc:Choice>
      <mc:Fallback>
        <control shapeId="3147" r:id="rId133" name="OB06q01"/>
      </mc:Fallback>
    </mc:AlternateContent>
    <mc:AlternateContent xmlns:mc="http://schemas.openxmlformats.org/markup-compatibility/2006">
      <mc:Choice Requires="x14">
        <control shapeId="3146" r:id="rId135" name="OB05">
          <controlPr defaultSize="0" autoLine="0" linkedCell="C17" r:id="rId136">
            <anchor moveWithCells="1">
              <from>
                <xdr:col>2</xdr:col>
                <xdr:colOff>38100</xdr:colOff>
                <xdr:row>16</xdr:row>
                <xdr:rowOff>47625</xdr:rowOff>
              </from>
              <to>
                <xdr:col>2</xdr:col>
                <xdr:colOff>228600</xdr:colOff>
                <xdr:row>16</xdr:row>
                <xdr:rowOff>838200</xdr:rowOff>
              </to>
            </anchor>
          </controlPr>
        </control>
      </mc:Choice>
      <mc:Fallback>
        <control shapeId="3146" r:id="rId135" name="OB05"/>
      </mc:Fallback>
    </mc:AlternateContent>
    <mc:AlternateContent xmlns:mc="http://schemas.openxmlformats.org/markup-compatibility/2006">
      <mc:Choice Requires="x14">
        <control shapeId="3145" r:id="rId137" name="OB05q08">
          <controlPr defaultSize="0" autoLine="0" linkedCell="K17" r:id="rId138">
            <anchor moveWithCells="1">
              <from>
                <xdr:col>10</xdr:col>
                <xdr:colOff>47625</xdr:colOff>
                <xdr:row>16</xdr:row>
                <xdr:rowOff>47625</xdr:rowOff>
              </from>
              <to>
                <xdr:col>10</xdr:col>
                <xdr:colOff>561975</xdr:colOff>
                <xdr:row>16</xdr:row>
                <xdr:rowOff>838200</xdr:rowOff>
              </to>
            </anchor>
          </controlPr>
        </control>
      </mc:Choice>
      <mc:Fallback>
        <control shapeId="3145" r:id="rId137" name="OB05q08"/>
      </mc:Fallback>
    </mc:AlternateContent>
    <mc:AlternateContent xmlns:mc="http://schemas.openxmlformats.org/markup-compatibility/2006">
      <mc:Choice Requires="x14">
        <control shapeId="3144" r:id="rId139" name="OB05q07">
          <controlPr defaultSize="0" autoLine="0" linkedCell="J17" r:id="rId140">
            <anchor moveWithCells="1">
              <from>
                <xdr:col>9</xdr:col>
                <xdr:colOff>47625</xdr:colOff>
                <xdr:row>16</xdr:row>
                <xdr:rowOff>47625</xdr:rowOff>
              </from>
              <to>
                <xdr:col>9</xdr:col>
                <xdr:colOff>561975</xdr:colOff>
                <xdr:row>16</xdr:row>
                <xdr:rowOff>838200</xdr:rowOff>
              </to>
            </anchor>
          </controlPr>
        </control>
      </mc:Choice>
      <mc:Fallback>
        <control shapeId="3144" r:id="rId139" name="OB05q07"/>
      </mc:Fallback>
    </mc:AlternateContent>
    <mc:AlternateContent xmlns:mc="http://schemas.openxmlformats.org/markup-compatibility/2006">
      <mc:Choice Requires="x14">
        <control shapeId="3143" r:id="rId141" name="OB05q06">
          <controlPr defaultSize="0" autoLine="0" linkedCell="I17" r:id="rId142">
            <anchor moveWithCells="1">
              <from>
                <xdr:col>8</xdr:col>
                <xdr:colOff>47625</xdr:colOff>
                <xdr:row>16</xdr:row>
                <xdr:rowOff>47625</xdr:rowOff>
              </from>
              <to>
                <xdr:col>8</xdr:col>
                <xdr:colOff>561975</xdr:colOff>
                <xdr:row>16</xdr:row>
                <xdr:rowOff>838200</xdr:rowOff>
              </to>
            </anchor>
          </controlPr>
        </control>
      </mc:Choice>
      <mc:Fallback>
        <control shapeId="3143" r:id="rId141" name="OB05q06"/>
      </mc:Fallback>
    </mc:AlternateContent>
    <mc:AlternateContent xmlns:mc="http://schemas.openxmlformats.org/markup-compatibility/2006">
      <mc:Choice Requires="x14">
        <control shapeId="3142" r:id="rId143" name="OB05q05">
          <controlPr defaultSize="0" autoLine="0" linkedCell="H17" r:id="rId144">
            <anchor moveWithCells="1">
              <from>
                <xdr:col>7</xdr:col>
                <xdr:colOff>47625</xdr:colOff>
                <xdr:row>16</xdr:row>
                <xdr:rowOff>47625</xdr:rowOff>
              </from>
              <to>
                <xdr:col>7</xdr:col>
                <xdr:colOff>561975</xdr:colOff>
                <xdr:row>16</xdr:row>
                <xdr:rowOff>838200</xdr:rowOff>
              </to>
            </anchor>
          </controlPr>
        </control>
      </mc:Choice>
      <mc:Fallback>
        <control shapeId="3142" r:id="rId143" name="OB05q05"/>
      </mc:Fallback>
    </mc:AlternateContent>
    <mc:AlternateContent xmlns:mc="http://schemas.openxmlformats.org/markup-compatibility/2006">
      <mc:Choice Requires="x14">
        <control shapeId="3141" r:id="rId145" name="OB05q04">
          <controlPr defaultSize="0" autoLine="0" linkedCell="G17" r:id="rId146">
            <anchor moveWithCells="1">
              <from>
                <xdr:col>6</xdr:col>
                <xdr:colOff>47625</xdr:colOff>
                <xdr:row>16</xdr:row>
                <xdr:rowOff>47625</xdr:rowOff>
              </from>
              <to>
                <xdr:col>6</xdr:col>
                <xdr:colOff>561975</xdr:colOff>
                <xdr:row>16</xdr:row>
                <xdr:rowOff>838200</xdr:rowOff>
              </to>
            </anchor>
          </controlPr>
        </control>
      </mc:Choice>
      <mc:Fallback>
        <control shapeId="3141" r:id="rId145" name="OB05q04"/>
      </mc:Fallback>
    </mc:AlternateContent>
    <mc:AlternateContent xmlns:mc="http://schemas.openxmlformats.org/markup-compatibility/2006">
      <mc:Choice Requires="x14">
        <control shapeId="3140" r:id="rId147" name="OB05q03">
          <controlPr defaultSize="0" autoLine="0" linkedCell="F17" r:id="rId148">
            <anchor moveWithCells="1">
              <from>
                <xdr:col>5</xdr:col>
                <xdr:colOff>47625</xdr:colOff>
                <xdr:row>16</xdr:row>
                <xdr:rowOff>47625</xdr:rowOff>
              </from>
              <to>
                <xdr:col>5</xdr:col>
                <xdr:colOff>561975</xdr:colOff>
                <xdr:row>16</xdr:row>
                <xdr:rowOff>838200</xdr:rowOff>
              </to>
            </anchor>
          </controlPr>
        </control>
      </mc:Choice>
      <mc:Fallback>
        <control shapeId="3140" r:id="rId147" name="OB05q03"/>
      </mc:Fallback>
    </mc:AlternateContent>
    <mc:AlternateContent xmlns:mc="http://schemas.openxmlformats.org/markup-compatibility/2006">
      <mc:Choice Requires="x14">
        <control shapeId="3139" r:id="rId149" name="OB05q02">
          <controlPr defaultSize="0" autoLine="0" linkedCell="E17" r:id="rId150">
            <anchor moveWithCells="1">
              <from>
                <xdr:col>4</xdr:col>
                <xdr:colOff>47625</xdr:colOff>
                <xdr:row>16</xdr:row>
                <xdr:rowOff>47625</xdr:rowOff>
              </from>
              <to>
                <xdr:col>4</xdr:col>
                <xdr:colOff>561975</xdr:colOff>
                <xdr:row>16</xdr:row>
                <xdr:rowOff>838200</xdr:rowOff>
              </to>
            </anchor>
          </controlPr>
        </control>
      </mc:Choice>
      <mc:Fallback>
        <control shapeId="3139" r:id="rId149" name="OB05q02"/>
      </mc:Fallback>
    </mc:AlternateContent>
    <mc:AlternateContent xmlns:mc="http://schemas.openxmlformats.org/markup-compatibility/2006">
      <mc:Choice Requires="x14">
        <control shapeId="3138" r:id="rId151" name="OB05q01">
          <controlPr defaultSize="0" autoLine="0" linkedCell="D17" r:id="rId152">
            <anchor moveWithCells="1">
              <from>
                <xdr:col>3</xdr:col>
                <xdr:colOff>47625</xdr:colOff>
                <xdr:row>16</xdr:row>
                <xdr:rowOff>47625</xdr:rowOff>
              </from>
              <to>
                <xdr:col>3</xdr:col>
                <xdr:colOff>561975</xdr:colOff>
                <xdr:row>16</xdr:row>
                <xdr:rowOff>838200</xdr:rowOff>
              </to>
            </anchor>
          </controlPr>
        </control>
      </mc:Choice>
      <mc:Fallback>
        <control shapeId="3138" r:id="rId151" name="OB05q01"/>
      </mc:Fallback>
    </mc:AlternateContent>
    <mc:AlternateContent xmlns:mc="http://schemas.openxmlformats.org/markup-compatibility/2006">
      <mc:Choice Requires="x14">
        <control shapeId="3128" r:id="rId153" name="OB04">
          <controlPr defaultSize="0" autoLine="0" linkedCell="C15" r:id="rId154">
            <anchor moveWithCells="1">
              <from>
                <xdr:col>2</xdr:col>
                <xdr:colOff>38100</xdr:colOff>
                <xdr:row>14</xdr:row>
                <xdr:rowOff>47625</xdr:rowOff>
              </from>
              <to>
                <xdr:col>2</xdr:col>
                <xdr:colOff>228600</xdr:colOff>
                <xdr:row>14</xdr:row>
                <xdr:rowOff>838200</xdr:rowOff>
              </to>
            </anchor>
          </controlPr>
        </control>
      </mc:Choice>
      <mc:Fallback>
        <control shapeId="3128" r:id="rId153" name="OB04"/>
      </mc:Fallback>
    </mc:AlternateContent>
    <mc:AlternateContent xmlns:mc="http://schemas.openxmlformats.org/markup-compatibility/2006">
      <mc:Choice Requires="x14">
        <control shapeId="3127" r:id="rId155" name="OB04q08">
          <controlPr defaultSize="0" autoLine="0" linkedCell="K15" r:id="rId156">
            <anchor moveWithCells="1">
              <from>
                <xdr:col>10</xdr:col>
                <xdr:colOff>47625</xdr:colOff>
                <xdr:row>14</xdr:row>
                <xdr:rowOff>47625</xdr:rowOff>
              </from>
              <to>
                <xdr:col>10</xdr:col>
                <xdr:colOff>561975</xdr:colOff>
                <xdr:row>14</xdr:row>
                <xdr:rowOff>838200</xdr:rowOff>
              </to>
            </anchor>
          </controlPr>
        </control>
      </mc:Choice>
      <mc:Fallback>
        <control shapeId="3127" r:id="rId155" name="OB04q08"/>
      </mc:Fallback>
    </mc:AlternateContent>
    <mc:AlternateContent xmlns:mc="http://schemas.openxmlformats.org/markup-compatibility/2006">
      <mc:Choice Requires="x14">
        <control shapeId="3126" r:id="rId157" name="OB04q07">
          <controlPr defaultSize="0" autoLine="0" linkedCell="J15" r:id="rId158">
            <anchor moveWithCells="1">
              <from>
                <xdr:col>9</xdr:col>
                <xdr:colOff>47625</xdr:colOff>
                <xdr:row>14</xdr:row>
                <xdr:rowOff>47625</xdr:rowOff>
              </from>
              <to>
                <xdr:col>9</xdr:col>
                <xdr:colOff>561975</xdr:colOff>
                <xdr:row>14</xdr:row>
                <xdr:rowOff>838200</xdr:rowOff>
              </to>
            </anchor>
          </controlPr>
        </control>
      </mc:Choice>
      <mc:Fallback>
        <control shapeId="3126" r:id="rId157" name="OB04q07"/>
      </mc:Fallback>
    </mc:AlternateContent>
    <mc:AlternateContent xmlns:mc="http://schemas.openxmlformats.org/markup-compatibility/2006">
      <mc:Choice Requires="x14">
        <control shapeId="3125" r:id="rId159" name="OB04q06">
          <controlPr defaultSize="0" autoLine="0" linkedCell="I15" r:id="rId160">
            <anchor moveWithCells="1">
              <from>
                <xdr:col>8</xdr:col>
                <xdr:colOff>47625</xdr:colOff>
                <xdr:row>14</xdr:row>
                <xdr:rowOff>47625</xdr:rowOff>
              </from>
              <to>
                <xdr:col>8</xdr:col>
                <xdr:colOff>561975</xdr:colOff>
                <xdr:row>14</xdr:row>
                <xdr:rowOff>838200</xdr:rowOff>
              </to>
            </anchor>
          </controlPr>
        </control>
      </mc:Choice>
      <mc:Fallback>
        <control shapeId="3125" r:id="rId159" name="OB04q06"/>
      </mc:Fallback>
    </mc:AlternateContent>
    <mc:AlternateContent xmlns:mc="http://schemas.openxmlformats.org/markup-compatibility/2006">
      <mc:Choice Requires="x14">
        <control shapeId="3124" r:id="rId161" name="OB04q05">
          <controlPr defaultSize="0" autoLine="0" linkedCell="H15" r:id="rId162">
            <anchor moveWithCells="1">
              <from>
                <xdr:col>7</xdr:col>
                <xdr:colOff>57150</xdr:colOff>
                <xdr:row>14</xdr:row>
                <xdr:rowOff>47625</xdr:rowOff>
              </from>
              <to>
                <xdr:col>7</xdr:col>
                <xdr:colOff>571500</xdr:colOff>
                <xdr:row>14</xdr:row>
                <xdr:rowOff>838200</xdr:rowOff>
              </to>
            </anchor>
          </controlPr>
        </control>
      </mc:Choice>
      <mc:Fallback>
        <control shapeId="3124" r:id="rId161" name="OB04q05"/>
      </mc:Fallback>
    </mc:AlternateContent>
    <mc:AlternateContent xmlns:mc="http://schemas.openxmlformats.org/markup-compatibility/2006">
      <mc:Choice Requires="x14">
        <control shapeId="3123" r:id="rId163" name="OB04q04">
          <controlPr defaultSize="0" autoLine="0" linkedCell="G15" r:id="rId164">
            <anchor moveWithCells="1">
              <from>
                <xdr:col>6</xdr:col>
                <xdr:colOff>47625</xdr:colOff>
                <xdr:row>14</xdr:row>
                <xdr:rowOff>47625</xdr:rowOff>
              </from>
              <to>
                <xdr:col>6</xdr:col>
                <xdr:colOff>561975</xdr:colOff>
                <xdr:row>14</xdr:row>
                <xdr:rowOff>838200</xdr:rowOff>
              </to>
            </anchor>
          </controlPr>
        </control>
      </mc:Choice>
      <mc:Fallback>
        <control shapeId="3123" r:id="rId163" name="OB04q04"/>
      </mc:Fallback>
    </mc:AlternateContent>
    <mc:AlternateContent xmlns:mc="http://schemas.openxmlformats.org/markup-compatibility/2006">
      <mc:Choice Requires="x14">
        <control shapeId="3122" r:id="rId165" name="OB04q03">
          <controlPr defaultSize="0" autoLine="0" linkedCell="F15" r:id="rId166">
            <anchor moveWithCells="1">
              <from>
                <xdr:col>5</xdr:col>
                <xdr:colOff>47625</xdr:colOff>
                <xdr:row>14</xdr:row>
                <xdr:rowOff>38100</xdr:rowOff>
              </from>
              <to>
                <xdr:col>5</xdr:col>
                <xdr:colOff>561975</xdr:colOff>
                <xdr:row>14</xdr:row>
                <xdr:rowOff>828675</xdr:rowOff>
              </to>
            </anchor>
          </controlPr>
        </control>
      </mc:Choice>
      <mc:Fallback>
        <control shapeId="3122" r:id="rId165" name="OB04q03"/>
      </mc:Fallback>
    </mc:AlternateContent>
    <mc:AlternateContent xmlns:mc="http://schemas.openxmlformats.org/markup-compatibility/2006">
      <mc:Choice Requires="x14">
        <control shapeId="3121" r:id="rId167" name="OB04q02">
          <controlPr defaultSize="0" autoLine="0" linkedCell="E15" r:id="rId168">
            <anchor moveWithCells="1">
              <from>
                <xdr:col>4</xdr:col>
                <xdr:colOff>47625</xdr:colOff>
                <xdr:row>14</xdr:row>
                <xdr:rowOff>47625</xdr:rowOff>
              </from>
              <to>
                <xdr:col>4</xdr:col>
                <xdr:colOff>561975</xdr:colOff>
                <xdr:row>14</xdr:row>
                <xdr:rowOff>838200</xdr:rowOff>
              </to>
            </anchor>
          </controlPr>
        </control>
      </mc:Choice>
      <mc:Fallback>
        <control shapeId="3121" r:id="rId167" name="OB04q02"/>
      </mc:Fallback>
    </mc:AlternateContent>
    <mc:AlternateContent xmlns:mc="http://schemas.openxmlformats.org/markup-compatibility/2006">
      <mc:Choice Requires="x14">
        <control shapeId="3120" r:id="rId169" name="OB04q01">
          <controlPr defaultSize="0" autoLine="0" linkedCell="D15" r:id="rId170">
            <anchor moveWithCells="1">
              <from>
                <xdr:col>3</xdr:col>
                <xdr:colOff>47625</xdr:colOff>
                <xdr:row>14</xdr:row>
                <xdr:rowOff>47625</xdr:rowOff>
              </from>
              <to>
                <xdr:col>3</xdr:col>
                <xdr:colOff>561975</xdr:colOff>
                <xdr:row>14</xdr:row>
                <xdr:rowOff>838200</xdr:rowOff>
              </to>
            </anchor>
          </controlPr>
        </control>
      </mc:Choice>
      <mc:Fallback>
        <control shapeId="3120" r:id="rId169" name="OB04q01"/>
      </mc:Fallback>
    </mc:AlternateContent>
    <mc:AlternateContent xmlns:mc="http://schemas.openxmlformats.org/markup-compatibility/2006">
      <mc:Choice Requires="x14">
        <control shapeId="3110" r:id="rId171" name="OB03">
          <controlPr defaultSize="0" autoLine="0" linkedCell="C13" r:id="rId172">
            <anchor moveWithCells="1">
              <from>
                <xdr:col>2</xdr:col>
                <xdr:colOff>38100</xdr:colOff>
                <xdr:row>12</xdr:row>
                <xdr:rowOff>47625</xdr:rowOff>
              </from>
              <to>
                <xdr:col>2</xdr:col>
                <xdr:colOff>228600</xdr:colOff>
                <xdr:row>12</xdr:row>
                <xdr:rowOff>838200</xdr:rowOff>
              </to>
            </anchor>
          </controlPr>
        </control>
      </mc:Choice>
      <mc:Fallback>
        <control shapeId="3110" r:id="rId171" name="OB03"/>
      </mc:Fallback>
    </mc:AlternateContent>
    <mc:AlternateContent xmlns:mc="http://schemas.openxmlformats.org/markup-compatibility/2006">
      <mc:Choice Requires="x14">
        <control shapeId="3109" r:id="rId173" name="OB03q08">
          <controlPr defaultSize="0" autoLine="0" linkedCell="K13" r:id="rId174">
            <anchor moveWithCells="1">
              <from>
                <xdr:col>10</xdr:col>
                <xdr:colOff>47625</xdr:colOff>
                <xdr:row>12</xdr:row>
                <xdr:rowOff>47625</xdr:rowOff>
              </from>
              <to>
                <xdr:col>10</xdr:col>
                <xdr:colOff>561975</xdr:colOff>
                <xdr:row>12</xdr:row>
                <xdr:rowOff>838200</xdr:rowOff>
              </to>
            </anchor>
          </controlPr>
        </control>
      </mc:Choice>
      <mc:Fallback>
        <control shapeId="3109" r:id="rId173" name="OB03q08"/>
      </mc:Fallback>
    </mc:AlternateContent>
    <mc:AlternateContent xmlns:mc="http://schemas.openxmlformats.org/markup-compatibility/2006">
      <mc:Choice Requires="x14">
        <control shapeId="3108" r:id="rId175" name="OB03q07">
          <controlPr defaultSize="0" autoLine="0" linkedCell="J13" r:id="rId176">
            <anchor moveWithCells="1">
              <from>
                <xdr:col>9</xdr:col>
                <xdr:colOff>47625</xdr:colOff>
                <xdr:row>12</xdr:row>
                <xdr:rowOff>47625</xdr:rowOff>
              </from>
              <to>
                <xdr:col>9</xdr:col>
                <xdr:colOff>561975</xdr:colOff>
                <xdr:row>12</xdr:row>
                <xdr:rowOff>838200</xdr:rowOff>
              </to>
            </anchor>
          </controlPr>
        </control>
      </mc:Choice>
      <mc:Fallback>
        <control shapeId="3108" r:id="rId175" name="OB03q07"/>
      </mc:Fallback>
    </mc:AlternateContent>
    <mc:AlternateContent xmlns:mc="http://schemas.openxmlformats.org/markup-compatibility/2006">
      <mc:Choice Requires="x14">
        <control shapeId="3107" r:id="rId177" name="OB03q06">
          <controlPr defaultSize="0" autoLine="0" linkedCell="I13" r:id="rId178">
            <anchor moveWithCells="1">
              <from>
                <xdr:col>8</xdr:col>
                <xdr:colOff>47625</xdr:colOff>
                <xdr:row>12</xdr:row>
                <xdr:rowOff>47625</xdr:rowOff>
              </from>
              <to>
                <xdr:col>8</xdr:col>
                <xdr:colOff>561975</xdr:colOff>
                <xdr:row>12</xdr:row>
                <xdr:rowOff>838200</xdr:rowOff>
              </to>
            </anchor>
          </controlPr>
        </control>
      </mc:Choice>
      <mc:Fallback>
        <control shapeId="3107" r:id="rId177" name="OB03q06"/>
      </mc:Fallback>
    </mc:AlternateContent>
    <mc:AlternateContent xmlns:mc="http://schemas.openxmlformats.org/markup-compatibility/2006">
      <mc:Choice Requires="x14">
        <control shapeId="3106" r:id="rId179" name="OB03q05">
          <controlPr defaultSize="0" autoLine="0" linkedCell="H13" r:id="rId180">
            <anchor moveWithCells="1">
              <from>
                <xdr:col>7</xdr:col>
                <xdr:colOff>47625</xdr:colOff>
                <xdr:row>12</xdr:row>
                <xdr:rowOff>47625</xdr:rowOff>
              </from>
              <to>
                <xdr:col>7</xdr:col>
                <xdr:colOff>561975</xdr:colOff>
                <xdr:row>12</xdr:row>
                <xdr:rowOff>838200</xdr:rowOff>
              </to>
            </anchor>
          </controlPr>
        </control>
      </mc:Choice>
      <mc:Fallback>
        <control shapeId="3106" r:id="rId179" name="OB03q05"/>
      </mc:Fallback>
    </mc:AlternateContent>
    <mc:AlternateContent xmlns:mc="http://schemas.openxmlformats.org/markup-compatibility/2006">
      <mc:Choice Requires="x14">
        <control shapeId="3105" r:id="rId181" name="OB03q04">
          <controlPr defaultSize="0" autoLine="0" linkedCell="G13" r:id="rId182">
            <anchor moveWithCells="1">
              <from>
                <xdr:col>6</xdr:col>
                <xdr:colOff>47625</xdr:colOff>
                <xdr:row>12</xdr:row>
                <xdr:rowOff>47625</xdr:rowOff>
              </from>
              <to>
                <xdr:col>6</xdr:col>
                <xdr:colOff>561975</xdr:colOff>
                <xdr:row>12</xdr:row>
                <xdr:rowOff>838200</xdr:rowOff>
              </to>
            </anchor>
          </controlPr>
        </control>
      </mc:Choice>
      <mc:Fallback>
        <control shapeId="3105" r:id="rId181" name="OB03q04"/>
      </mc:Fallback>
    </mc:AlternateContent>
    <mc:AlternateContent xmlns:mc="http://schemas.openxmlformats.org/markup-compatibility/2006">
      <mc:Choice Requires="x14">
        <control shapeId="3104" r:id="rId183" name="OB03q03">
          <controlPr defaultSize="0" autoLine="0" linkedCell="F13" r:id="rId184">
            <anchor moveWithCells="1">
              <from>
                <xdr:col>5</xdr:col>
                <xdr:colOff>47625</xdr:colOff>
                <xdr:row>12</xdr:row>
                <xdr:rowOff>47625</xdr:rowOff>
              </from>
              <to>
                <xdr:col>5</xdr:col>
                <xdr:colOff>561975</xdr:colOff>
                <xdr:row>12</xdr:row>
                <xdr:rowOff>838200</xdr:rowOff>
              </to>
            </anchor>
          </controlPr>
        </control>
      </mc:Choice>
      <mc:Fallback>
        <control shapeId="3104" r:id="rId183" name="OB03q03"/>
      </mc:Fallback>
    </mc:AlternateContent>
    <mc:AlternateContent xmlns:mc="http://schemas.openxmlformats.org/markup-compatibility/2006">
      <mc:Choice Requires="x14">
        <control shapeId="3103" r:id="rId185" name="OB03q02">
          <controlPr defaultSize="0" autoLine="0" linkedCell="E13" r:id="rId186">
            <anchor moveWithCells="1">
              <from>
                <xdr:col>4</xdr:col>
                <xdr:colOff>19050</xdr:colOff>
                <xdr:row>12</xdr:row>
                <xdr:rowOff>47625</xdr:rowOff>
              </from>
              <to>
                <xdr:col>4</xdr:col>
                <xdr:colOff>533400</xdr:colOff>
                <xdr:row>12</xdr:row>
                <xdr:rowOff>838200</xdr:rowOff>
              </to>
            </anchor>
          </controlPr>
        </control>
      </mc:Choice>
      <mc:Fallback>
        <control shapeId="3103" r:id="rId185" name="OB03q02"/>
      </mc:Fallback>
    </mc:AlternateContent>
    <mc:AlternateContent xmlns:mc="http://schemas.openxmlformats.org/markup-compatibility/2006">
      <mc:Choice Requires="x14">
        <control shapeId="3102" r:id="rId187" name="OB03q01">
          <controlPr defaultSize="0" autoLine="0" linkedCell="D13" r:id="rId188">
            <anchor moveWithCells="1">
              <from>
                <xdr:col>3</xdr:col>
                <xdr:colOff>47625</xdr:colOff>
                <xdr:row>12</xdr:row>
                <xdr:rowOff>47625</xdr:rowOff>
              </from>
              <to>
                <xdr:col>3</xdr:col>
                <xdr:colOff>561975</xdr:colOff>
                <xdr:row>12</xdr:row>
                <xdr:rowOff>838200</xdr:rowOff>
              </to>
            </anchor>
          </controlPr>
        </control>
      </mc:Choice>
      <mc:Fallback>
        <control shapeId="3102" r:id="rId187" name="OB03q01"/>
      </mc:Fallback>
    </mc:AlternateContent>
    <mc:AlternateContent xmlns:mc="http://schemas.openxmlformats.org/markup-compatibility/2006">
      <mc:Choice Requires="x14">
        <control shapeId="3100" r:id="rId189" name="OB02">
          <controlPr defaultSize="0" autoLine="0" linkedCell="C11" r:id="rId190">
            <anchor moveWithCells="1">
              <from>
                <xdr:col>2</xdr:col>
                <xdr:colOff>38100</xdr:colOff>
                <xdr:row>10</xdr:row>
                <xdr:rowOff>47625</xdr:rowOff>
              </from>
              <to>
                <xdr:col>2</xdr:col>
                <xdr:colOff>228600</xdr:colOff>
                <xdr:row>10</xdr:row>
                <xdr:rowOff>838200</xdr:rowOff>
              </to>
            </anchor>
          </controlPr>
        </control>
      </mc:Choice>
      <mc:Fallback>
        <control shapeId="3100" r:id="rId189" name="OB02"/>
      </mc:Fallback>
    </mc:AlternateContent>
    <mc:AlternateContent xmlns:mc="http://schemas.openxmlformats.org/markup-compatibility/2006">
      <mc:Choice Requires="x14">
        <control shapeId="3099" r:id="rId191" name="OB02q08">
          <controlPr defaultSize="0" autoLine="0" linkedCell="K11" r:id="rId192">
            <anchor moveWithCells="1">
              <from>
                <xdr:col>10</xdr:col>
                <xdr:colOff>47625</xdr:colOff>
                <xdr:row>10</xdr:row>
                <xdr:rowOff>47625</xdr:rowOff>
              </from>
              <to>
                <xdr:col>10</xdr:col>
                <xdr:colOff>561975</xdr:colOff>
                <xdr:row>10</xdr:row>
                <xdr:rowOff>838200</xdr:rowOff>
              </to>
            </anchor>
          </controlPr>
        </control>
      </mc:Choice>
      <mc:Fallback>
        <control shapeId="3099" r:id="rId191" name="OB02q08"/>
      </mc:Fallback>
    </mc:AlternateContent>
    <mc:AlternateContent xmlns:mc="http://schemas.openxmlformats.org/markup-compatibility/2006">
      <mc:Choice Requires="x14">
        <control shapeId="3098" r:id="rId193" name="OB02q07">
          <controlPr defaultSize="0" autoLine="0" linkedCell="J11" r:id="rId194">
            <anchor moveWithCells="1">
              <from>
                <xdr:col>9</xdr:col>
                <xdr:colOff>47625</xdr:colOff>
                <xdr:row>10</xdr:row>
                <xdr:rowOff>47625</xdr:rowOff>
              </from>
              <to>
                <xdr:col>9</xdr:col>
                <xdr:colOff>561975</xdr:colOff>
                <xdr:row>10</xdr:row>
                <xdr:rowOff>838200</xdr:rowOff>
              </to>
            </anchor>
          </controlPr>
        </control>
      </mc:Choice>
      <mc:Fallback>
        <control shapeId="3098" r:id="rId193" name="OB02q07"/>
      </mc:Fallback>
    </mc:AlternateContent>
    <mc:AlternateContent xmlns:mc="http://schemas.openxmlformats.org/markup-compatibility/2006">
      <mc:Choice Requires="x14">
        <control shapeId="3097" r:id="rId195" name="OB02q06">
          <controlPr defaultSize="0" autoLine="0" linkedCell="I11" r:id="rId196">
            <anchor moveWithCells="1">
              <from>
                <xdr:col>8</xdr:col>
                <xdr:colOff>47625</xdr:colOff>
                <xdr:row>10</xdr:row>
                <xdr:rowOff>47625</xdr:rowOff>
              </from>
              <to>
                <xdr:col>8</xdr:col>
                <xdr:colOff>561975</xdr:colOff>
                <xdr:row>10</xdr:row>
                <xdr:rowOff>838200</xdr:rowOff>
              </to>
            </anchor>
          </controlPr>
        </control>
      </mc:Choice>
      <mc:Fallback>
        <control shapeId="3097" r:id="rId195" name="OB02q06"/>
      </mc:Fallback>
    </mc:AlternateContent>
    <mc:AlternateContent xmlns:mc="http://schemas.openxmlformats.org/markup-compatibility/2006">
      <mc:Choice Requires="x14">
        <control shapeId="3096" r:id="rId197" name="OB02q05">
          <controlPr defaultSize="0" autoLine="0" linkedCell="H11" r:id="rId198">
            <anchor moveWithCells="1">
              <from>
                <xdr:col>7</xdr:col>
                <xdr:colOff>47625</xdr:colOff>
                <xdr:row>10</xdr:row>
                <xdr:rowOff>47625</xdr:rowOff>
              </from>
              <to>
                <xdr:col>7</xdr:col>
                <xdr:colOff>561975</xdr:colOff>
                <xdr:row>10</xdr:row>
                <xdr:rowOff>838200</xdr:rowOff>
              </to>
            </anchor>
          </controlPr>
        </control>
      </mc:Choice>
      <mc:Fallback>
        <control shapeId="3096" r:id="rId197" name="OB02q05"/>
      </mc:Fallback>
    </mc:AlternateContent>
    <mc:AlternateContent xmlns:mc="http://schemas.openxmlformats.org/markup-compatibility/2006">
      <mc:Choice Requires="x14">
        <control shapeId="3095" r:id="rId199" name="OB02q04">
          <controlPr defaultSize="0" autoLine="0" linkedCell="G11" r:id="rId200">
            <anchor moveWithCells="1">
              <from>
                <xdr:col>6</xdr:col>
                <xdr:colOff>47625</xdr:colOff>
                <xdr:row>10</xdr:row>
                <xdr:rowOff>47625</xdr:rowOff>
              </from>
              <to>
                <xdr:col>6</xdr:col>
                <xdr:colOff>561975</xdr:colOff>
                <xdr:row>10</xdr:row>
                <xdr:rowOff>838200</xdr:rowOff>
              </to>
            </anchor>
          </controlPr>
        </control>
      </mc:Choice>
      <mc:Fallback>
        <control shapeId="3095" r:id="rId199" name="OB02q04"/>
      </mc:Fallback>
    </mc:AlternateContent>
    <mc:AlternateContent xmlns:mc="http://schemas.openxmlformats.org/markup-compatibility/2006">
      <mc:Choice Requires="x14">
        <control shapeId="3094" r:id="rId201" name="OB02q03">
          <controlPr defaultSize="0" autoLine="0" linkedCell="F11" r:id="rId202">
            <anchor moveWithCells="1">
              <from>
                <xdr:col>5</xdr:col>
                <xdr:colOff>47625</xdr:colOff>
                <xdr:row>10</xdr:row>
                <xdr:rowOff>47625</xdr:rowOff>
              </from>
              <to>
                <xdr:col>5</xdr:col>
                <xdr:colOff>561975</xdr:colOff>
                <xdr:row>10</xdr:row>
                <xdr:rowOff>838200</xdr:rowOff>
              </to>
            </anchor>
          </controlPr>
        </control>
      </mc:Choice>
      <mc:Fallback>
        <control shapeId="3094" r:id="rId201" name="OB02q03"/>
      </mc:Fallback>
    </mc:AlternateContent>
    <mc:AlternateContent xmlns:mc="http://schemas.openxmlformats.org/markup-compatibility/2006">
      <mc:Choice Requires="x14">
        <control shapeId="3093" r:id="rId203" name="OB02q02">
          <controlPr defaultSize="0" autoLine="0" linkedCell="E11" r:id="rId204">
            <anchor moveWithCells="1">
              <from>
                <xdr:col>4</xdr:col>
                <xdr:colOff>47625</xdr:colOff>
                <xdr:row>10</xdr:row>
                <xdr:rowOff>47625</xdr:rowOff>
              </from>
              <to>
                <xdr:col>4</xdr:col>
                <xdr:colOff>561975</xdr:colOff>
                <xdr:row>10</xdr:row>
                <xdr:rowOff>838200</xdr:rowOff>
              </to>
            </anchor>
          </controlPr>
        </control>
      </mc:Choice>
      <mc:Fallback>
        <control shapeId="3093" r:id="rId203" name="OB02q02"/>
      </mc:Fallback>
    </mc:AlternateContent>
    <mc:AlternateContent xmlns:mc="http://schemas.openxmlformats.org/markup-compatibility/2006">
      <mc:Choice Requires="x14">
        <control shapeId="3092" r:id="rId205" name="OB02q01">
          <controlPr defaultSize="0" autoLine="0" linkedCell="D11" r:id="rId206">
            <anchor moveWithCells="1">
              <from>
                <xdr:col>3</xdr:col>
                <xdr:colOff>47625</xdr:colOff>
                <xdr:row>10</xdr:row>
                <xdr:rowOff>47625</xdr:rowOff>
              </from>
              <to>
                <xdr:col>3</xdr:col>
                <xdr:colOff>561975</xdr:colOff>
                <xdr:row>10</xdr:row>
                <xdr:rowOff>838200</xdr:rowOff>
              </to>
            </anchor>
          </controlPr>
        </control>
      </mc:Choice>
      <mc:Fallback>
        <control shapeId="3092" r:id="rId205" name="OB02q01"/>
      </mc:Fallback>
    </mc:AlternateContent>
    <mc:AlternateContent xmlns:mc="http://schemas.openxmlformats.org/markup-compatibility/2006">
      <mc:Choice Requires="x14">
        <control shapeId="3082" r:id="rId207" name="OB01">
          <controlPr defaultSize="0" autoLine="0" linkedCell="C9" r:id="rId208">
            <anchor moveWithCells="1">
              <from>
                <xdr:col>2</xdr:col>
                <xdr:colOff>47625</xdr:colOff>
                <xdr:row>8</xdr:row>
                <xdr:rowOff>47625</xdr:rowOff>
              </from>
              <to>
                <xdr:col>2</xdr:col>
                <xdr:colOff>238125</xdr:colOff>
                <xdr:row>8</xdr:row>
                <xdr:rowOff>838200</xdr:rowOff>
              </to>
            </anchor>
          </controlPr>
        </control>
      </mc:Choice>
      <mc:Fallback>
        <control shapeId="3082" r:id="rId207" name="OB01"/>
      </mc:Fallback>
    </mc:AlternateContent>
    <mc:AlternateContent xmlns:mc="http://schemas.openxmlformats.org/markup-compatibility/2006">
      <mc:Choice Requires="x14">
        <control shapeId="3074" r:id="rId209" name="OB01q01">
          <controlPr defaultSize="0" autoLine="0" linkedCell="D9" r:id="rId210">
            <anchor moveWithCells="1">
              <from>
                <xdr:col>3</xdr:col>
                <xdr:colOff>47625</xdr:colOff>
                <xdr:row>8</xdr:row>
                <xdr:rowOff>47625</xdr:rowOff>
              </from>
              <to>
                <xdr:col>3</xdr:col>
                <xdr:colOff>561975</xdr:colOff>
                <xdr:row>8</xdr:row>
                <xdr:rowOff>838200</xdr:rowOff>
              </to>
            </anchor>
          </controlPr>
        </control>
      </mc:Choice>
      <mc:Fallback>
        <control shapeId="3074" r:id="rId209" name="OB01q01"/>
      </mc:Fallback>
    </mc:AlternateContent>
    <mc:AlternateContent xmlns:mc="http://schemas.openxmlformats.org/markup-compatibility/2006">
      <mc:Choice Requires="x14">
        <control shapeId="3075" r:id="rId211" name="OB01q02">
          <controlPr defaultSize="0" autoLine="0" linkedCell="E9" r:id="rId212">
            <anchor moveWithCells="1">
              <from>
                <xdr:col>4</xdr:col>
                <xdr:colOff>47625</xdr:colOff>
                <xdr:row>8</xdr:row>
                <xdr:rowOff>47625</xdr:rowOff>
              </from>
              <to>
                <xdr:col>4</xdr:col>
                <xdr:colOff>561975</xdr:colOff>
                <xdr:row>8</xdr:row>
                <xdr:rowOff>838200</xdr:rowOff>
              </to>
            </anchor>
          </controlPr>
        </control>
      </mc:Choice>
      <mc:Fallback>
        <control shapeId="3075" r:id="rId211" name="OB01q02"/>
      </mc:Fallback>
    </mc:AlternateContent>
    <mc:AlternateContent xmlns:mc="http://schemas.openxmlformats.org/markup-compatibility/2006">
      <mc:Choice Requires="x14">
        <control shapeId="3076" r:id="rId213" name="OB01q03">
          <controlPr defaultSize="0" autoLine="0" linkedCell="F9" r:id="rId214">
            <anchor moveWithCells="1">
              <from>
                <xdr:col>5</xdr:col>
                <xdr:colOff>57150</xdr:colOff>
                <xdr:row>8</xdr:row>
                <xdr:rowOff>47625</xdr:rowOff>
              </from>
              <to>
                <xdr:col>5</xdr:col>
                <xdr:colOff>571500</xdr:colOff>
                <xdr:row>8</xdr:row>
                <xdr:rowOff>838200</xdr:rowOff>
              </to>
            </anchor>
          </controlPr>
        </control>
      </mc:Choice>
      <mc:Fallback>
        <control shapeId="3076" r:id="rId213" name="OB01q03"/>
      </mc:Fallback>
    </mc:AlternateContent>
    <mc:AlternateContent xmlns:mc="http://schemas.openxmlformats.org/markup-compatibility/2006">
      <mc:Choice Requires="x14">
        <control shapeId="3077" r:id="rId215" name="OB01q04">
          <controlPr defaultSize="0" autoLine="0" linkedCell="G9" r:id="rId216">
            <anchor moveWithCells="1">
              <from>
                <xdr:col>6</xdr:col>
                <xdr:colOff>47625</xdr:colOff>
                <xdr:row>8</xdr:row>
                <xdr:rowOff>47625</xdr:rowOff>
              </from>
              <to>
                <xdr:col>6</xdr:col>
                <xdr:colOff>561975</xdr:colOff>
                <xdr:row>8</xdr:row>
                <xdr:rowOff>838200</xdr:rowOff>
              </to>
            </anchor>
          </controlPr>
        </control>
      </mc:Choice>
      <mc:Fallback>
        <control shapeId="3077" r:id="rId215" name="OB01q04"/>
      </mc:Fallback>
    </mc:AlternateContent>
    <mc:AlternateContent xmlns:mc="http://schemas.openxmlformats.org/markup-compatibility/2006">
      <mc:Choice Requires="x14">
        <control shapeId="3078" r:id="rId217" name="OB01q05">
          <controlPr defaultSize="0" autoLine="0" linkedCell="H9" r:id="rId218">
            <anchor moveWithCells="1">
              <from>
                <xdr:col>7</xdr:col>
                <xdr:colOff>47625</xdr:colOff>
                <xdr:row>8</xdr:row>
                <xdr:rowOff>47625</xdr:rowOff>
              </from>
              <to>
                <xdr:col>7</xdr:col>
                <xdr:colOff>561975</xdr:colOff>
                <xdr:row>8</xdr:row>
                <xdr:rowOff>838200</xdr:rowOff>
              </to>
            </anchor>
          </controlPr>
        </control>
      </mc:Choice>
      <mc:Fallback>
        <control shapeId="3078" r:id="rId217" name="OB01q05"/>
      </mc:Fallback>
    </mc:AlternateContent>
    <mc:AlternateContent xmlns:mc="http://schemas.openxmlformats.org/markup-compatibility/2006">
      <mc:Choice Requires="x14">
        <control shapeId="3079" r:id="rId219" name="OB01q06">
          <controlPr defaultSize="0" autoLine="0" linkedCell="I9" r:id="rId220">
            <anchor moveWithCells="1">
              <from>
                <xdr:col>8</xdr:col>
                <xdr:colOff>47625</xdr:colOff>
                <xdr:row>8</xdr:row>
                <xdr:rowOff>47625</xdr:rowOff>
              </from>
              <to>
                <xdr:col>8</xdr:col>
                <xdr:colOff>561975</xdr:colOff>
                <xdr:row>8</xdr:row>
                <xdr:rowOff>838200</xdr:rowOff>
              </to>
            </anchor>
          </controlPr>
        </control>
      </mc:Choice>
      <mc:Fallback>
        <control shapeId="3079" r:id="rId219" name="OB01q06"/>
      </mc:Fallback>
    </mc:AlternateContent>
    <mc:AlternateContent xmlns:mc="http://schemas.openxmlformats.org/markup-compatibility/2006">
      <mc:Choice Requires="x14">
        <control shapeId="3080" r:id="rId221" name="OB01q07">
          <controlPr defaultSize="0" autoLine="0" linkedCell="J9" r:id="rId222">
            <anchor moveWithCells="1">
              <from>
                <xdr:col>9</xdr:col>
                <xdr:colOff>47625</xdr:colOff>
                <xdr:row>8</xdr:row>
                <xdr:rowOff>47625</xdr:rowOff>
              </from>
              <to>
                <xdr:col>9</xdr:col>
                <xdr:colOff>561975</xdr:colOff>
                <xdr:row>8</xdr:row>
                <xdr:rowOff>838200</xdr:rowOff>
              </to>
            </anchor>
          </controlPr>
        </control>
      </mc:Choice>
      <mc:Fallback>
        <control shapeId="3080" r:id="rId221" name="OB01q07"/>
      </mc:Fallback>
    </mc:AlternateContent>
    <mc:AlternateContent xmlns:mc="http://schemas.openxmlformats.org/markup-compatibility/2006">
      <mc:Choice Requires="x14">
        <control shapeId="3081" r:id="rId223" name="OB01q08">
          <controlPr defaultSize="0" autoLine="0" linkedCell="K9" r:id="rId224">
            <anchor moveWithCells="1">
              <from>
                <xdr:col>10</xdr:col>
                <xdr:colOff>47625</xdr:colOff>
                <xdr:row>8</xdr:row>
                <xdr:rowOff>47625</xdr:rowOff>
              </from>
              <to>
                <xdr:col>10</xdr:col>
                <xdr:colOff>561975</xdr:colOff>
                <xdr:row>8</xdr:row>
                <xdr:rowOff>838200</xdr:rowOff>
              </to>
            </anchor>
          </controlPr>
        </control>
      </mc:Choice>
      <mc:Fallback>
        <control shapeId="3081" r:id="rId223" name="OB01q08"/>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E60"/>
  <sheetViews>
    <sheetView zoomScaleNormal="100" workbookViewId="0">
      <pane xSplit="1" ySplit="1" topLeftCell="D2" activePane="bottomRight" state="frozen"/>
      <selection pane="topRight" activeCell="B1" sqref="B1"/>
      <selection pane="bottomLeft" activeCell="A2" sqref="A2"/>
      <selection pane="bottomRight" activeCell="E1" sqref="E1"/>
    </sheetView>
  </sheetViews>
  <sheetFormatPr defaultRowHeight="15" x14ac:dyDescent="0.25"/>
  <cols>
    <col min="2" max="5" width="100.7109375" customWidth="1"/>
  </cols>
  <sheetData>
    <row r="1" spans="1:5" s="88" customFormat="1" ht="15.75" x14ac:dyDescent="0.25">
      <c r="B1" s="88" t="s">
        <v>103</v>
      </c>
      <c r="C1" s="88" t="s">
        <v>100</v>
      </c>
      <c r="D1" s="88" t="s">
        <v>102</v>
      </c>
      <c r="E1" s="88" t="s">
        <v>101</v>
      </c>
    </row>
    <row r="2" spans="1:5" s="14" customFormat="1" ht="99.95" customHeight="1" x14ac:dyDescent="0.25">
      <c r="A2" s="15" t="s">
        <v>110</v>
      </c>
      <c r="B2" s="14" t="s">
        <v>115</v>
      </c>
      <c r="C2" s="14" t="s">
        <v>108</v>
      </c>
      <c r="D2" s="14" t="s">
        <v>113</v>
      </c>
      <c r="E2" s="14" t="s">
        <v>334</v>
      </c>
    </row>
    <row r="3" spans="1:5" s="16" customFormat="1" ht="180" customHeight="1" x14ac:dyDescent="0.2">
      <c r="A3" s="17" t="s">
        <v>109</v>
      </c>
      <c r="B3" s="19" t="s">
        <v>335</v>
      </c>
      <c r="C3" s="19" t="s">
        <v>336</v>
      </c>
      <c r="D3" s="19" t="s">
        <v>337</v>
      </c>
      <c r="E3" s="19" t="s">
        <v>133</v>
      </c>
    </row>
    <row r="4" spans="1:5" s="14" customFormat="1" ht="39.950000000000003" customHeight="1" x14ac:dyDescent="0.25">
      <c r="A4" s="18" t="s">
        <v>117</v>
      </c>
      <c r="B4" s="14" t="s">
        <v>116</v>
      </c>
      <c r="C4" s="14" t="s">
        <v>111</v>
      </c>
      <c r="D4" s="14" t="s">
        <v>114</v>
      </c>
      <c r="E4" s="14" t="s">
        <v>112</v>
      </c>
    </row>
    <row r="5" spans="1:5" s="13" customFormat="1" ht="99.95" customHeight="1" x14ac:dyDescent="0.25">
      <c r="A5" s="17" t="s">
        <v>118</v>
      </c>
      <c r="B5" s="14" t="s">
        <v>128</v>
      </c>
      <c r="C5" s="14" t="s">
        <v>127</v>
      </c>
      <c r="D5" s="14" t="s">
        <v>130</v>
      </c>
      <c r="E5" s="14" t="s">
        <v>129</v>
      </c>
    </row>
    <row r="6" spans="1:5" s="14" customFormat="1" ht="39.950000000000003" customHeight="1" x14ac:dyDescent="0.25">
      <c r="A6" s="77" t="s">
        <v>119</v>
      </c>
      <c r="B6" s="78" t="s">
        <v>123</v>
      </c>
      <c r="C6" s="78" t="s">
        <v>120</v>
      </c>
      <c r="D6" s="78" t="s">
        <v>122</v>
      </c>
      <c r="E6" s="78" t="s">
        <v>121</v>
      </c>
    </row>
    <row r="7" spans="1:5" x14ac:dyDescent="0.25">
      <c r="A7" s="76" t="s">
        <v>169</v>
      </c>
      <c r="B7" t="s">
        <v>104</v>
      </c>
      <c r="C7" t="s">
        <v>105</v>
      </c>
      <c r="D7" t="s">
        <v>106</v>
      </c>
      <c r="E7" t="s">
        <v>107</v>
      </c>
    </row>
    <row r="8" spans="1:5" ht="20.100000000000001" customHeight="1" x14ac:dyDescent="0.25">
      <c r="A8" s="127" t="s">
        <v>163</v>
      </c>
      <c r="B8" s="82" t="s">
        <v>170</v>
      </c>
      <c r="C8" s="82" t="s">
        <v>189</v>
      </c>
      <c r="D8" s="82" t="s">
        <v>229</v>
      </c>
      <c r="E8" s="82" t="s">
        <v>241</v>
      </c>
    </row>
    <row r="9" spans="1:5" ht="20.100000000000001" customHeight="1" x14ac:dyDescent="0.25">
      <c r="A9" s="127"/>
      <c r="B9" s="82" t="s">
        <v>171</v>
      </c>
      <c r="C9" s="82" t="s">
        <v>190</v>
      </c>
      <c r="D9" s="82" t="s">
        <v>230</v>
      </c>
      <c r="E9" s="82" t="s">
        <v>253</v>
      </c>
    </row>
    <row r="10" spans="1:5" ht="20.100000000000001" customHeight="1" x14ac:dyDescent="0.25">
      <c r="A10" s="127"/>
      <c r="B10" s="79"/>
      <c r="C10" s="82" t="s">
        <v>191</v>
      </c>
      <c r="D10" s="82" t="s">
        <v>231</v>
      </c>
      <c r="E10" s="82" t="s">
        <v>219</v>
      </c>
    </row>
    <row r="11" spans="1:5" ht="20.100000000000001" customHeight="1" x14ac:dyDescent="0.25">
      <c r="A11" s="127"/>
      <c r="B11" s="79"/>
      <c r="C11" s="82" t="s">
        <v>192</v>
      </c>
      <c r="D11" s="79"/>
      <c r="E11" s="82" t="s">
        <v>242</v>
      </c>
    </row>
    <row r="12" spans="1:5" ht="20.100000000000001" customHeight="1" x14ac:dyDescent="0.25">
      <c r="A12" s="128"/>
      <c r="B12" s="80"/>
      <c r="C12" s="80" t="s">
        <v>193</v>
      </c>
      <c r="D12" s="80"/>
      <c r="E12" s="80" t="s">
        <v>243</v>
      </c>
    </row>
    <row r="13" spans="1:5" ht="20.100000000000001" customHeight="1" x14ac:dyDescent="0.25">
      <c r="A13" s="127" t="s">
        <v>164</v>
      </c>
      <c r="B13" s="79" t="s">
        <v>172</v>
      </c>
      <c r="C13" s="82" t="s">
        <v>194</v>
      </c>
      <c r="D13" s="82" t="s">
        <v>232</v>
      </c>
      <c r="E13" s="82" t="s">
        <v>244</v>
      </c>
    </row>
    <row r="14" spans="1:5" ht="20.100000000000001" customHeight="1" x14ac:dyDescent="0.25">
      <c r="A14" s="127"/>
      <c r="B14" s="79" t="s">
        <v>173</v>
      </c>
      <c r="C14" s="82" t="s">
        <v>195</v>
      </c>
      <c r="D14" s="82" t="s">
        <v>233</v>
      </c>
      <c r="E14" s="82" t="s">
        <v>245</v>
      </c>
    </row>
    <row r="15" spans="1:5" ht="20.100000000000001" customHeight="1" x14ac:dyDescent="0.25">
      <c r="A15" s="127"/>
      <c r="B15" s="79" t="s">
        <v>174</v>
      </c>
      <c r="C15" s="82" t="s">
        <v>196</v>
      </c>
      <c r="D15" s="82" t="s">
        <v>234</v>
      </c>
      <c r="E15" s="82" t="s">
        <v>246</v>
      </c>
    </row>
    <row r="16" spans="1:5" ht="20.100000000000001" customHeight="1" x14ac:dyDescent="0.25">
      <c r="A16" s="127"/>
      <c r="B16" s="79" t="s">
        <v>175</v>
      </c>
      <c r="C16" s="82" t="s">
        <v>197</v>
      </c>
      <c r="D16" s="82" t="s">
        <v>235</v>
      </c>
      <c r="E16" s="82" t="s">
        <v>181</v>
      </c>
    </row>
    <row r="17" spans="1:5" ht="20.100000000000001" customHeight="1" x14ac:dyDescent="0.25">
      <c r="A17" s="128"/>
      <c r="B17" s="80" t="s">
        <v>176</v>
      </c>
      <c r="C17" s="80" t="s">
        <v>198</v>
      </c>
      <c r="D17" s="80" t="s">
        <v>236</v>
      </c>
      <c r="E17" s="80" t="s">
        <v>247</v>
      </c>
    </row>
    <row r="18" spans="1:5" ht="15.75" x14ac:dyDescent="0.25">
      <c r="A18" s="127" t="s">
        <v>165</v>
      </c>
      <c r="B18" s="81" t="s">
        <v>177</v>
      </c>
      <c r="C18" s="82" t="s">
        <v>193</v>
      </c>
      <c r="D18" s="82" t="s">
        <v>237</v>
      </c>
      <c r="E18" s="82" t="s">
        <v>248</v>
      </c>
    </row>
    <row r="19" spans="1:5" ht="15.75" x14ac:dyDescent="0.25">
      <c r="A19" s="127"/>
      <c r="B19" s="81" t="s">
        <v>178</v>
      </c>
      <c r="C19" s="82" t="s">
        <v>199</v>
      </c>
      <c r="D19" s="82" t="s">
        <v>238</v>
      </c>
      <c r="E19" s="82" t="s">
        <v>249</v>
      </c>
    </row>
    <row r="20" spans="1:5" ht="15.75" x14ac:dyDescent="0.25">
      <c r="A20" s="127"/>
      <c r="B20" s="81" t="s">
        <v>179</v>
      </c>
      <c r="C20" s="82" t="s">
        <v>200</v>
      </c>
      <c r="D20" s="82" t="s">
        <v>239</v>
      </c>
      <c r="E20" s="82" t="s">
        <v>250</v>
      </c>
    </row>
    <row r="21" spans="1:5" ht="15.75" x14ac:dyDescent="0.25">
      <c r="A21" s="127"/>
      <c r="B21" s="81" t="s">
        <v>180</v>
      </c>
      <c r="C21" s="82" t="s">
        <v>201</v>
      </c>
      <c r="D21" s="82" t="s">
        <v>240</v>
      </c>
      <c r="E21" s="82" t="s">
        <v>251</v>
      </c>
    </row>
    <row r="22" spans="1:5" ht="15.75" x14ac:dyDescent="0.25">
      <c r="A22" s="128"/>
      <c r="B22" s="80"/>
      <c r="C22" s="80" t="s">
        <v>202</v>
      </c>
      <c r="D22" s="80"/>
      <c r="E22" s="80" t="s">
        <v>200</v>
      </c>
    </row>
    <row r="23" spans="1:5" ht="20.100000000000001" customHeight="1" x14ac:dyDescent="0.25">
      <c r="A23" s="127" t="s">
        <v>166</v>
      </c>
      <c r="B23" s="81" t="s">
        <v>181</v>
      </c>
      <c r="C23" s="82" t="s">
        <v>203</v>
      </c>
      <c r="D23" s="79" t="s">
        <v>213</v>
      </c>
      <c r="E23" s="79" t="s">
        <v>224</v>
      </c>
    </row>
    <row r="24" spans="1:5" ht="20.100000000000001" customHeight="1" x14ac:dyDescent="0.25">
      <c r="A24" s="127"/>
      <c r="B24" s="81" t="s">
        <v>182</v>
      </c>
      <c r="C24" s="82" t="s">
        <v>204</v>
      </c>
      <c r="D24" s="79" t="s">
        <v>214</v>
      </c>
      <c r="E24" s="79" t="s">
        <v>225</v>
      </c>
    </row>
    <row r="25" spans="1:5" ht="20.100000000000001" customHeight="1" x14ac:dyDescent="0.25">
      <c r="A25" s="127"/>
      <c r="B25" s="81" t="s">
        <v>183</v>
      </c>
      <c r="C25" s="82" t="s">
        <v>205</v>
      </c>
      <c r="D25" s="79" t="s">
        <v>215</v>
      </c>
      <c r="E25" s="79" t="s">
        <v>226</v>
      </c>
    </row>
    <row r="26" spans="1:5" ht="20.100000000000001" customHeight="1" x14ac:dyDescent="0.25">
      <c r="A26" s="127"/>
      <c r="B26" s="81" t="s">
        <v>184</v>
      </c>
      <c r="C26" s="82" t="s">
        <v>206</v>
      </c>
      <c r="D26" s="79" t="s">
        <v>216</v>
      </c>
      <c r="E26" s="79" t="s">
        <v>227</v>
      </c>
    </row>
    <row r="27" spans="1:5" ht="20.100000000000001" customHeight="1" x14ac:dyDescent="0.25">
      <c r="A27" s="128"/>
      <c r="B27" s="80" t="s">
        <v>185</v>
      </c>
      <c r="C27" s="80" t="s">
        <v>207</v>
      </c>
      <c r="D27" s="80"/>
      <c r="E27" s="80" t="s">
        <v>228</v>
      </c>
    </row>
    <row r="28" spans="1:5" ht="20.100000000000001" customHeight="1" x14ac:dyDescent="0.25">
      <c r="A28" s="127" t="s">
        <v>167</v>
      </c>
      <c r="B28" s="81" t="s">
        <v>186</v>
      </c>
      <c r="C28" s="82" t="s">
        <v>208</v>
      </c>
      <c r="D28" s="81" t="s">
        <v>217</v>
      </c>
      <c r="E28" s="79" t="s">
        <v>219</v>
      </c>
    </row>
    <row r="29" spans="1:5" ht="20.100000000000001" customHeight="1" x14ac:dyDescent="0.25">
      <c r="A29" s="127"/>
      <c r="B29" s="81" t="s">
        <v>187</v>
      </c>
      <c r="C29" s="82" t="s">
        <v>209</v>
      </c>
      <c r="D29" s="81" t="s">
        <v>218</v>
      </c>
      <c r="E29" s="79" t="s">
        <v>220</v>
      </c>
    </row>
    <row r="30" spans="1:5" ht="20.100000000000001" customHeight="1" x14ac:dyDescent="0.25">
      <c r="A30" s="127"/>
      <c r="B30" s="81" t="s">
        <v>188</v>
      </c>
      <c r="C30" s="82" t="s">
        <v>210</v>
      </c>
      <c r="D30" s="81" t="s">
        <v>252</v>
      </c>
      <c r="E30" s="79" t="s">
        <v>221</v>
      </c>
    </row>
    <row r="31" spans="1:5" ht="20.100000000000001" customHeight="1" x14ac:dyDescent="0.25">
      <c r="A31" s="127"/>
      <c r="B31" s="79"/>
      <c r="C31" s="82" t="s">
        <v>211</v>
      </c>
      <c r="D31" s="79"/>
      <c r="E31" s="79" t="s">
        <v>222</v>
      </c>
    </row>
    <row r="32" spans="1:5" ht="20.100000000000001" customHeight="1" x14ac:dyDescent="0.25">
      <c r="A32" s="128"/>
      <c r="B32" s="80"/>
      <c r="C32" s="80" t="s">
        <v>212</v>
      </c>
      <c r="D32" s="80"/>
      <c r="E32" s="80" t="s">
        <v>223</v>
      </c>
    </row>
    <row r="33" spans="1:5" x14ac:dyDescent="0.25">
      <c r="A33" t="s">
        <v>259</v>
      </c>
      <c r="B33" s="87" t="s">
        <v>97</v>
      </c>
      <c r="C33" s="87" t="s">
        <v>97</v>
      </c>
      <c r="D33" s="87" t="s">
        <v>97</v>
      </c>
      <c r="E33" s="87" t="s">
        <v>97</v>
      </c>
    </row>
    <row r="34" spans="1:5" ht="15.75" thickBot="1" x14ac:dyDescent="0.3">
      <c r="A34" s="25" t="s">
        <v>267</v>
      </c>
      <c r="B34" s="25"/>
      <c r="C34" s="25"/>
      <c r="D34" s="25"/>
    </row>
    <row r="35" spans="1:5" ht="20.100000000000001" customHeight="1" x14ac:dyDescent="0.25">
      <c r="A35" s="129" t="s">
        <v>263</v>
      </c>
      <c r="B35" s="16" t="s">
        <v>269</v>
      </c>
      <c r="C35" s="90" t="s">
        <v>280</v>
      </c>
      <c r="D35" s="16" t="s">
        <v>297</v>
      </c>
      <c r="E35" s="90" t="s">
        <v>306</v>
      </c>
    </row>
    <row r="36" spans="1:5" ht="20.100000000000001" customHeight="1" x14ac:dyDescent="0.25">
      <c r="A36" s="129"/>
      <c r="B36" s="16" t="s">
        <v>270</v>
      </c>
      <c r="C36" s="16" t="s">
        <v>281</v>
      </c>
      <c r="D36" s="16" t="s">
        <v>298</v>
      </c>
      <c r="E36" s="16" t="s">
        <v>307</v>
      </c>
    </row>
    <row r="37" spans="1:5" ht="20.100000000000001" customHeight="1" x14ac:dyDescent="0.25">
      <c r="A37" s="130"/>
      <c r="B37" s="91" t="s">
        <v>271</v>
      </c>
      <c r="C37" s="91" t="s">
        <v>282</v>
      </c>
      <c r="D37" s="91" t="s">
        <v>299</v>
      </c>
      <c r="E37" s="16" t="s">
        <v>308</v>
      </c>
    </row>
    <row r="38" spans="1:5" ht="20.100000000000001" customHeight="1" x14ac:dyDescent="0.25">
      <c r="A38" s="129" t="s">
        <v>264</v>
      </c>
      <c r="B38" s="16" t="s">
        <v>272</v>
      </c>
      <c r="C38" s="16" t="s">
        <v>283</v>
      </c>
      <c r="D38" s="16" t="s">
        <v>294</v>
      </c>
      <c r="E38" s="92" t="s">
        <v>312</v>
      </c>
    </row>
    <row r="39" spans="1:5" ht="20.100000000000001" customHeight="1" x14ac:dyDescent="0.25">
      <c r="A39" s="129"/>
      <c r="B39" s="16" t="s">
        <v>273</v>
      </c>
      <c r="C39" s="16" t="s">
        <v>284</v>
      </c>
      <c r="D39" s="16" t="s">
        <v>295</v>
      </c>
      <c r="E39" s="16" t="s">
        <v>313</v>
      </c>
    </row>
    <row r="40" spans="1:5" ht="20.100000000000001" customHeight="1" x14ac:dyDescent="0.25">
      <c r="A40" s="130"/>
      <c r="B40" s="91" t="s">
        <v>274</v>
      </c>
      <c r="C40" s="91" t="s">
        <v>285</v>
      </c>
      <c r="D40" s="91" t="s">
        <v>296</v>
      </c>
      <c r="E40" s="16" t="s">
        <v>314</v>
      </c>
    </row>
    <row r="41" spans="1:5" ht="20.100000000000001" customHeight="1" x14ac:dyDescent="0.25">
      <c r="A41" s="129" t="s">
        <v>265</v>
      </c>
      <c r="B41" s="16" t="s">
        <v>340</v>
      </c>
      <c r="C41" s="16" t="s">
        <v>350</v>
      </c>
      <c r="D41" s="16" t="s">
        <v>316</v>
      </c>
      <c r="E41" s="92" t="s">
        <v>326</v>
      </c>
    </row>
    <row r="42" spans="1:5" ht="20.100000000000001" customHeight="1" x14ac:dyDescent="0.25">
      <c r="A42" s="129"/>
      <c r="B42" s="16" t="s">
        <v>341</v>
      </c>
      <c r="C42" s="16" t="s">
        <v>351</v>
      </c>
      <c r="D42" s="16" t="s">
        <v>317</v>
      </c>
      <c r="E42" s="16" t="s">
        <v>327</v>
      </c>
    </row>
    <row r="43" spans="1:5" ht="20.100000000000001" customHeight="1" x14ac:dyDescent="0.25">
      <c r="A43" s="130"/>
      <c r="B43" s="91" t="s">
        <v>342</v>
      </c>
      <c r="C43" s="91" t="s">
        <v>352</v>
      </c>
      <c r="D43" s="91" t="s">
        <v>318</v>
      </c>
      <c r="E43" s="16"/>
    </row>
    <row r="44" spans="1:5" ht="21" customHeight="1" x14ac:dyDescent="0.25">
      <c r="A44" s="129" t="s">
        <v>266</v>
      </c>
      <c r="B44" s="16" t="s">
        <v>343</v>
      </c>
      <c r="C44" s="16" t="s">
        <v>355</v>
      </c>
      <c r="D44" s="16" t="s">
        <v>321</v>
      </c>
      <c r="E44" s="92" t="s">
        <v>330</v>
      </c>
    </row>
    <row r="45" spans="1:5" ht="21" customHeight="1" x14ac:dyDescent="0.25">
      <c r="A45" s="129"/>
      <c r="B45" s="16" t="s">
        <v>344</v>
      </c>
      <c r="C45" s="16" t="s">
        <v>356</v>
      </c>
      <c r="D45" s="16" t="s">
        <v>322</v>
      </c>
      <c r="E45" s="16"/>
    </row>
    <row r="46" spans="1:5" ht="21" customHeight="1" thickBot="1" x14ac:dyDescent="0.3">
      <c r="A46" s="131"/>
      <c r="B46" s="16" t="s">
        <v>345</v>
      </c>
      <c r="C46" s="93" t="s">
        <v>357</v>
      </c>
      <c r="D46" s="93" t="s">
        <v>323</v>
      </c>
      <c r="E46" s="16"/>
    </row>
    <row r="47" spans="1:5" ht="15.75" thickBot="1" x14ac:dyDescent="0.3">
      <c r="A47" t="s">
        <v>268</v>
      </c>
      <c r="B47" s="94"/>
      <c r="C47" s="16"/>
      <c r="D47" s="16"/>
      <c r="E47" s="90"/>
    </row>
    <row r="48" spans="1:5" ht="20.100000000000001" customHeight="1" x14ac:dyDescent="0.25">
      <c r="A48" s="132" t="s">
        <v>263</v>
      </c>
      <c r="B48" s="16" t="s">
        <v>275</v>
      </c>
      <c r="C48" s="90" t="s">
        <v>286</v>
      </c>
      <c r="D48" s="90" t="s">
        <v>292</v>
      </c>
      <c r="E48" s="90" t="s">
        <v>303</v>
      </c>
    </row>
    <row r="49" spans="1:5" ht="20.100000000000001" customHeight="1" x14ac:dyDescent="0.25">
      <c r="A49" s="129"/>
      <c r="B49" s="16" t="s">
        <v>276</v>
      </c>
      <c r="C49" s="16" t="s">
        <v>287</v>
      </c>
      <c r="D49" s="16" t="s">
        <v>331</v>
      </c>
      <c r="E49" s="16" t="s">
        <v>304</v>
      </c>
    </row>
    <row r="50" spans="1:5" ht="20.100000000000001" customHeight="1" x14ac:dyDescent="0.25">
      <c r="A50" s="130"/>
      <c r="B50" s="91" t="s">
        <v>277</v>
      </c>
      <c r="C50" s="91" t="s">
        <v>288</v>
      </c>
      <c r="D50" s="91" t="s">
        <v>293</v>
      </c>
      <c r="E50" s="16" t="s">
        <v>305</v>
      </c>
    </row>
    <row r="51" spans="1:5" ht="20.100000000000001" customHeight="1" x14ac:dyDescent="0.25">
      <c r="A51" s="129" t="s">
        <v>264</v>
      </c>
      <c r="B51" s="16" t="s">
        <v>278</v>
      </c>
      <c r="C51" s="16" t="s">
        <v>289</v>
      </c>
      <c r="D51" s="16" t="s">
        <v>300</v>
      </c>
      <c r="E51" s="92" t="s">
        <v>309</v>
      </c>
    </row>
    <row r="52" spans="1:5" ht="20.100000000000001" customHeight="1" x14ac:dyDescent="0.25">
      <c r="A52" s="129"/>
      <c r="B52" s="16" t="s">
        <v>279</v>
      </c>
      <c r="C52" s="16" t="s">
        <v>290</v>
      </c>
      <c r="D52" s="16" t="s">
        <v>301</v>
      </c>
      <c r="E52" s="16" t="s">
        <v>310</v>
      </c>
    </row>
    <row r="53" spans="1:5" ht="20.100000000000001" customHeight="1" x14ac:dyDescent="0.25">
      <c r="A53" s="130"/>
      <c r="B53" s="91" t="s">
        <v>332</v>
      </c>
      <c r="C53" s="91" t="s">
        <v>291</v>
      </c>
      <c r="D53" s="91" t="s">
        <v>302</v>
      </c>
      <c r="E53" s="16" t="s">
        <v>311</v>
      </c>
    </row>
    <row r="54" spans="1:5" ht="20.100000000000001" customHeight="1" x14ac:dyDescent="0.25">
      <c r="A54" s="129" t="s">
        <v>265</v>
      </c>
      <c r="B54" s="16" t="s">
        <v>338</v>
      </c>
      <c r="C54" s="16" t="s">
        <v>348</v>
      </c>
      <c r="D54" s="16" t="s">
        <v>333</v>
      </c>
      <c r="E54" s="92" t="s">
        <v>324</v>
      </c>
    </row>
    <row r="55" spans="1:5" ht="20.100000000000001" customHeight="1" x14ac:dyDescent="0.25">
      <c r="A55" s="129"/>
      <c r="B55" s="16" t="s">
        <v>339</v>
      </c>
      <c r="C55" s="16" t="s">
        <v>349</v>
      </c>
      <c r="D55" s="16" t="s">
        <v>315</v>
      </c>
      <c r="E55" s="16" t="s">
        <v>325</v>
      </c>
    </row>
    <row r="56" spans="1:5" ht="20.100000000000001" customHeight="1" x14ac:dyDescent="0.25">
      <c r="A56" s="130"/>
      <c r="B56" s="91"/>
      <c r="C56" s="91"/>
      <c r="D56" s="91"/>
      <c r="E56" s="16"/>
    </row>
    <row r="57" spans="1:5" ht="21" customHeight="1" x14ac:dyDescent="0.25">
      <c r="A57" s="129" t="s">
        <v>266</v>
      </c>
      <c r="B57" s="16" t="s">
        <v>346</v>
      </c>
      <c r="C57" s="16" t="s">
        <v>353</v>
      </c>
      <c r="D57" s="16" t="s">
        <v>319</v>
      </c>
      <c r="E57" s="92" t="s">
        <v>328</v>
      </c>
    </row>
    <row r="58" spans="1:5" ht="21" customHeight="1" x14ac:dyDescent="0.25">
      <c r="A58" s="129"/>
      <c r="B58" s="16" t="s">
        <v>347</v>
      </c>
      <c r="C58" s="16" t="s">
        <v>354</v>
      </c>
      <c r="D58" s="16" t="s">
        <v>320</v>
      </c>
      <c r="E58" s="16" t="s">
        <v>329</v>
      </c>
    </row>
    <row r="59" spans="1:5" ht="21" customHeight="1" thickBot="1" x14ac:dyDescent="0.3">
      <c r="A59" s="131"/>
      <c r="B59" s="16"/>
      <c r="C59" s="16" t="s">
        <v>358</v>
      </c>
      <c r="D59" s="93"/>
      <c r="E59" s="16"/>
    </row>
    <row r="60" spans="1:5" x14ac:dyDescent="0.25">
      <c r="B60" s="89"/>
      <c r="C60" s="89"/>
      <c r="E60" s="89"/>
    </row>
  </sheetData>
  <mergeCells count="13">
    <mergeCell ref="A51:A53"/>
    <mergeCell ref="A54:A56"/>
    <mergeCell ref="A57:A59"/>
    <mergeCell ref="A35:A37"/>
    <mergeCell ref="A38:A40"/>
    <mergeCell ref="A41:A43"/>
    <mergeCell ref="A44:A46"/>
    <mergeCell ref="A48:A50"/>
    <mergeCell ref="A8:A12"/>
    <mergeCell ref="A13:A17"/>
    <mergeCell ref="A18:A22"/>
    <mergeCell ref="A23:A27"/>
    <mergeCell ref="A28:A32"/>
  </mergeCells>
  <pageMargins left="0.7" right="0.7" top="0.75" bottom="0.75" header="0.3" footer="0.3"/>
  <pageSetup scale="2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B2" sqref="B2"/>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Team-PLAYER</vt:lpstr>
      <vt:lpstr>Team-DEVELOPMENT</vt:lpstr>
      <vt:lpstr>TP-Data</vt:lpstr>
      <vt:lpstr>Figures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cp:lastModifiedBy>
  <cp:lastPrinted>2015-06-05T19:30:28Z</cp:lastPrinted>
  <dcterms:created xsi:type="dcterms:W3CDTF">2015-05-28T20:55:57Z</dcterms:created>
  <dcterms:modified xsi:type="dcterms:W3CDTF">2015-06-08T19:22:53Z</dcterms:modified>
</cp:coreProperties>
</file>